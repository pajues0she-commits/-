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sknewen-my.sharepoint.com/personal/t0039_skens_com/Documents/(개인문서함)/0. 작업중/260713 수준측정 준비/화학물질/화학물질 위험성평가/"/>
    </mc:Choice>
  </mc:AlternateContent>
  <bookViews>
    <workbookView xWindow="-120" yWindow="-120" windowWidth="29040" windowHeight="15720" firstSheet="4" activeTab="4" xr2:uid="{00000000-000D-0000-FFFF-FFFF00000000}"/>
  </bookViews>
  <sheets>
    <sheet name="① 기초Data" sheetId="2" r:id="rId1"/>
    <sheet name="② 물리화학적 위험성" sheetId="3" r:id="rId2"/>
    <sheet name="③ 환경오염 위험성" sheetId="16" r:id="rId3"/>
    <sheet name="④ 작업자 안전보건" sheetId="17" r:id="rId4"/>
    <sheet name="⑤ 종합결과" sheetId="18" r:id="rId5"/>
    <sheet name="⑥ 저감대책DB" sheetId="14" r:id="rId6"/>
    <sheet name="(수정금지) 기준정보" sheetId="11" state="hidden" r:id="rId7"/>
  </sheets>
  <definedNames>
    <definedName name="_xlnm._FilterDatabase" localSheetId="5" hidden="1">'⑥ 저감대책DB'!$A$5:$I$89</definedName>
    <definedName name="_xlnm.Print_Area" localSheetId="0">'① 기초Data'!$A$1:$F$68</definedName>
    <definedName name="_xlnm.Print_Area" localSheetId="1">'② 물리화학적 위험성'!$A$1:$N$70</definedName>
    <definedName name="_xlnm.Print_Area" localSheetId="2">'③ 환경오염 위험성'!$A$1:$N$69</definedName>
    <definedName name="_xlnm.Print_Area" localSheetId="3">'④ 작업자 안전보건'!$A$1:$N$70</definedName>
    <definedName name="_xlnm.Print_Area" localSheetId="4">'⑤ 종합결과'!$A$1:$K$61</definedName>
    <definedName name="_xlnm.Print_Area" localSheetId="5">'⑥ 저감대책DB'!$A$1:$I$95</definedName>
    <definedName name="_xlnm.Print_Titles" localSheetId="0">'① 기초Data'!$21:$21</definedName>
    <definedName name="_xlnm.Print_Titles" localSheetId="4">'⑤ 종합결과'!$19:$20</definedName>
    <definedName name="_xlnm.Print_Titles" localSheetId="5">'⑥ 저감대책DB'!$5:$5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12" i="3"/>
  <c r="E9" i="3"/>
  <c r="H15" i="18"/>
  <c r="H14" i="18"/>
  <c r="H13" i="18"/>
  <c r="H9" i="18"/>
  <c r="F9" i="18"/>
  <c r="D9" i="18"/>
  <c r="B9" i="18"/>
  <c r="H8" i="18"/>
  <c r="D8" i="18"/>
  <c r="F7" i="18"/>
  <c r="B7" i="18"/>
  <c r="D7" i="18"/>
  <c r="H7" i="18"/>
  <c r="E15" i="17" l="1"/>
  <c r="E13" i="16"/>
  <c r="E17" i="16"/>
  <c r="E14" i="16"/>
  <c r="E11" i="16"/>
  <c r="E12" i="16"/>
  <c r="E10" i="16"/>
  <c r="Q59" i="17"/>
  <c r="P59" i="17"/>
  <c r="E46" i="17"/>
  <c r="H46" i="17" s="1"/>
  <c r="E47" i="17"/>
  <c r="E48" i="17"/>
  <c r="F48" i="17" s="1"/>
  <c r="G48" i="17" s="1"/>
  <c r="E49" i="17"/>
  <c r="L49" i="17" s="1"/>
  <c r="M49" i="17" s="1"/>
  <c r="L47" i="17"/>
  <c r="J49" i="17"/>
  <c r="K49" i="17" s="1"/>
  <c r="J47" i="17"/>
  <c r="K47" i="17" s="1"/>
  <c r="H48" i="17"/>
  <c r="I48" i="17" s="1"/>
  <c r="H47" i="17"/>
  <c r="F49" i="17"/>
  <c r="F47" i="17"/>
  <c r="G47" i="17" s="1"/>
  <c r="E50" i="17"/>
  <c r="H50" i="17" s="1"/>
  <c r="C49" i="17"/>
  <c r="D49" i="17"/>
  <c r="C50" i="17"/>
  <c r="D50" i="17"/>
  <c r="E17" i="17"/>
  <c r="E26" i="17"/>
  <c r="E53" i="17" s="1"/>
  <c r="J53" i="17" s="1"/>
  <c r="E25" i="17"/>
  <c r="E52" i="17" s="1"/>
  <c r="H52" i="17" s="1"/>
  <c r="E24" i="17"/>
  <c r="E51" i="17" s="1"/>
  <c r="J51" i="17" s="1"/>
  <c r="E18" i="17"/>
  <c r="R62" i="17"/>
  <c r="Q62" i="17"/>
  <c r="P62" i="17"/>
  <c r="J62" i="17"/>
  <c r="D53" i="18" s="1"/>
  <c r="H62" i="17"/>
  <c r="D52" i="18" s="1"/>
  <c r="F62" i="17"/>
  <c r="D51" i="18" s="1"/>
  <c r="R61" i="17"/>
  <c r="Q61" i="17"/>
  <c r="P61" i="17"/>
  <c r="J61" i="17"/>
  <c r="D50" i="18" s="1"/>
  <c r="H61" i="17"/>
  <c r="D49" i="18" s="1"/>
  <c r="F61" i="17"/>
  <c r="D48" i="18" s="1"/>
  <c r="R60" i="17"/>
  <c r="Q60" i="17"/>
  <c r="P60" i="17"/>
  <c r="J60" i="17"/>
  <c r="D47" i="18" s="1"/>
  <c r="H60" i="17"/>
  <c r="D46" i="18" s="1"/>
  <c r="F60" i="17"/>
  <c r="D45" i="18" s="1"/>
  <c r="R59" i="17"/>
  <c r="J59" i="17"/>
  <c r="D44" i="18" s="1"/>
  <c r="H59" i="17"/>
  <c r="D43" i="18" s="1"/>
  <c r="F59" i="17"/>
  <c r="D42" i="18" s="1"/>
  <c r="D53" i="17"/>
  <c r="C53" i="17"/>
  <c r="D52" i="17"/>
  <c r="C52" i="17"/>
  <c r="D51" i="17"/>
  <c r="D48" i="17"/>
  <c r="C48" i="17"/>
  <c r="D47" i="17"/>
  <c r="C47" i="17"/>
  <c r="D46" i="17"/>
  <c r="C46" i="17"/>
  <c r="E45" i="17"/>
  <c r="J45" i="17" s="1"/>
  <c r="D45" i="17"/>
  <c r="C45" i="17"/>
  <c r="E44" i="17"/>
  <c r="J44" i="17" s="1"/>
  <c r="K44" i="17" s="1"/>
  <c r="D44" i="17"/>
  <c r="C44" i="17"/>
  <c r="E43" i="17"/>
  <c r="F43" i="17" s="1"/>
  <c r="D43" i="17"/>
  <c r="C43" i="17"/>
  <c r="P59" i="3"/>
  <c r="J61" i="16"/>
  <c r="D41" i="18" s="1"/>
  <c r="H61" i="16"/>
  <c r="D40" i="18" s="1"/>
  <c r="F61" i="16"/>
  <c r="D39" i="18" s="1"/>
  <c r="J60" i="16"/>
  <c r="D38" i="18" s="1"/>
  <c r="H60" i="16"/>
  <c r="D37" i="18" s="1"/>
  <c r="F60" i="16"/>
  <c r="D36" i="18" s="1"/>
  <c r="J59" i="16"/>
  <c r="D35" i="18" s="1"/>
  <c r="H59" i="16"/>
  <c r="D34" i="18" s="1"/>
  <c r="F59" i="16"/>
  <c r="D33" i="18" s="1"/>
  <c r="E50" i="16"/>
  <c r="J50" i="16" s="1"/>
  <c r="K50" i="16" s="1"/>
  <c r="C43" i="16"/>
  <c r="D53" i="16"/>
  <c r="C53" i="16"/>
  <c r="D52" i="16"/>
  <c r="C52" i="16"/>
  <c r="D51" i="16"/>
  <c r="D50" i="16"/>
  <c r="C50" i="16"/>
  <c r="E49" i="16"/>
  <c r="J49" i="16" s="1"/>
  <c r="K49" i="16" s="1"/>
  <c r="D49" i="16"/>
  <c r="C49" i="16"/>
  <c r="E48" i="16"/>
  <c r="H48" i="16" s="1"/>
  <c r="I48" i="16" s="1"/>
  <c r="D48" i="16"/>
  <c r="C48" i="16"/>
  <c r="E47" i="16"/>
  <c r="F47" i="16" s="1"/>
  <c r="G47" i="16" s="1"/>
  <c r="D47" i="16"/>
  <c r="C47" i="16"/>
  <c r="E46" i="16"/>
  <c r="J46" i="16" s="1"/>
  <c r="K46" i="16" s="1"/>
  <c r="D46" i="16"/>
  <c r="C46" i="16"/>
  <c r="E45" i="16"/>
  <c r="J45" i="16" s="1"/>
  <c r="K45" i="16" s="1"/>
  <c r="D45" i="16"/>
  <c r="C45" i="16"/>
  <c r="E44" i="16"/>
  <c r="H44" i="16" s="1"/>
  <c r="I44" i="16" s="1"/>
  <c r="D44" i="16"/>
  <c r="C44" i="16"/>
  <c r="E43" i="16"/>
  <c r="F43" i="16" s="1"/>
  <c r="G43" i="16" s="1"/>
  <c r="D43" i="16"/>
  <c r="E26" i="16"/>
  <c r="E53" i="16" s="1"/>
  <c r="E25" i="16"/>
  <c r="E52" i="16" s="1"/>
  <c r="H52" i="16" s="1"/>
  <c r="I52" i="16" s="1"/>
  <c r="E24" i="16"/>
  <c r="E51" i="16" s="1"/>
  <c r="R61" i="16"/>
  <c r="Q61" i="16"/>
  <c r="P61" i="16"/>
  <c r="R60" i="16"/>
  <c r="Q60" i="16"/>
  <c r="P60" i="16"/>
  <c r="R59" i="16"/>
  <c r="Q59" i="16"/>
  <c r="P59" i="16"/>
  <c r="E18" i="16"/>
  <c r="E19" i="16" s="1"/>
  <c r="E20" i="16" s="1"/>
  <c r="D14" i="18" s="1"/>
  <c r="E10" i="3"/>
  <c r="E11" i="3"/>
  <c r="E26" i="3"/>
  <c r="E53" i="3" s="1"/>
  <c r="E24" i="3"/>
  <c r="E25" i="3"/>
  <c r="E52" i="3" s="1"/>
  <c r="R59" i="3"/>
  <c r="J61" i="3"/>
  <c r="D29" i="18" s="1"/>
  <c r="E46" i="3"/>
  <c r="L46" i="3" s="1"/>
  <c r="M46" i="3" s="1"/>
  <c r="E47" i="3"/>
  <c r="J47" i="3" s="1"/>
  <c r="K47" i="3" s="1"/>
  <c r="E48" i="3"/>
  <c r="J48" i="3" s="1"/>
  <c r="K48" i="3" s="1"/>
  <c r="E50" i="3"/>
  <c r="L50" i="3" s="1"/>
  <c r="M50" i="3" s="1"/>
  <c r="E49" i="3"/>
  <c r="L49" i="3" s="1"/>
  <c r="M49" i="3" s="1"/>
  <c r="L47" i="3"/>
  <c r="M47" i="3" s="1"/>
  <c r="J46" i="3"/>
  <c r="K46" i="3" s="1"/>
  <c r="H48" i="3"/>
  <c r="I48" i="3" s="1"/>
  <c r="H47" i="3"/>
  <c r="I47" i="3" s="1"/>
  <c r="H46" i="3"/>
  <c r="I46" i="3" s="1"/>
  <c r="F59" i="3"/>
  <c r="D21" i="18" s="1"/>
  <c r="E44" i="3"/>
  <c r="F44" i="3" s="1"/>
  <c r="G44" i="3" s="1"/>
  <c r="E45" i="3"/>
  <c r="F45" i="3" s="1"/>
  <c r="G45" i="3" s="1"/>
  <c r="F46" i="3"/>
  <c r="G46" i="3" s="1"/>
  <c r="E43" i="3"/>
  <c r="J43" i="3" s="1"/>
  <c r="D52" i="3"/>
  <c r="D53" i="3"/>
  <c r="D51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D43" i="3"/>
  <c r="C43" i="3"/>
  <c r="C53" i="3"/>
  <c r="C52" i="3"/>
  <c r="J62" i="3"/>
  <c r="D32" i="18" s="1"/>
  <c r="J60" i="3"/>
  <c r="D26" i="18" s="1"/>
  <c r="J59" i="3"/>
  <c r="D23" i="18" s="1"/>
  <c r="H62" i="3"/>
  <c r="D31" i="18" s="1"/>
  <c r="H61" i="3"/>
  <c r="D28" i="18" s="1"/>
  <c r="H60" i="3"/>
  <c r="D25" i="18" s="1"/>
  <c r="H59" i="3"/>
  <c r="D22" i="18" s="1"/>
  <c r="F60" i="3"/>
  <c r="D24" i="18" s="1"/>
  <c r="F61" i="3"/>
  <c r="D27" i="18" s="1"/>
  <c r="F62" i="3"/>
  <c r="D30" i="18" s="1"/>
  <c r="Q62" i="3"/>
  <c r="Q60" i="3"/>
  <c r="Q59" i="3"/>
  <c r="P60" i="3"/>
  <c r="R60" i="3"/>
  <c r="P61" i="3"/>
  <c r="Q61" i="3"/>
  <c r="R61" i="3"/>
  <c r="R62" i="3"/>
  <c r="P62" i="3"/>
  <c r="E17" i="3"/>
  <c r="E18" i="3"/>
  <c r="D24" i="2" a="1"/>
  <c r="D24" i="2" s="1"/>
  <c r="D28" i="2" a="1"/>
  <c r="D28" i="2" s="1"/>
  <c r="D26" i="2" a="1"/>
  <c r="D26" i="2" s="1"/>
  <c r="E8" i="3" s="1"/>
  <c r="D40" i="2"/>
  <c r="D27" i="2"/>
  <c r="D39" i="2" a="1"/>
  <c r="D39" i="2" s="1"/>
  <c r="E9" i="16" s="1"/>
  <c r="D38" i="2" a="1"/>
  <c r="D38" i="2" s="1"/>
  <c r="E8" i="16" s="1"/>
  <c r="D37" i="2" a="1"/>
  <c r="D37" i="2" s="1"/>
  <c r="E14" i="17" s="1"/>
  <c r="D36" i="2" a="1"/>
  <c r="D36" i="2" s="1"/>
  <c r="D35" i="2" a="1"/>
  <c r="D35" i="2" s="1"/>
  <c r="E13" i="17" s="1"/>
  <c r="D34" i="2" a="1"/>
  <c r="D34" i="2" s="1"/>
  <c r="E12" i="17" s="1"/>
  <c r="D33" i="2" a="1"/>
  <c r="D33" i="2" s="1"/>
  <c r="E11" i="17" s="1"/>
  <c r="D32" i="2" a="1"/>
  <c r="D32" i="2" s="1"/>
  <c r="D31" i="2" a="1"/>
  <c r="D31" i="2" s="1"/>
  <c r="E10" i="17" s="1"/>
  <c r="D30" i="2" a="1"/>
  <c r="D30" i="2" s="1"/>
  <c r="E9" i="17" s="1"/>
  <c r="D29" i="2" a="1"/>
  <c r="D29" i="2" s="1"/>
  <c r="E8" i="17" s="1"/>
  <c r="D25" i="2" a="1"/>
  <c r="D25" i="2" s="1"/>
  <c r="D23" i="2" a="1"/>
  <c r="D23" i="2" s="1"/>
  <c r="H49" i="17" l="1"/>
  <c r="I49" i="17" s="1"/>
  <c r="F47" i="3"/>
  <c r="G47" i="3" s="1"/>
  <c r="J50" i="3"/>
  <c r="K50" i="3" s="1"/>
  <c r="J48" i="17"/>
  <c r="K48" i="17" s="1"/>
  <c r="L48" i="17"/>
  <c r="M48" i="17" s="1"/>
  <c r="J46" i="17"/>
  <c r="L46" i="17"/>
  <c r="M46" i="17" s="1"/>
  <c r="H44" i="3"/>
  <c r="I44" i="3" s="1"/>
  <c r="J44" i="3"/>
  <c r="K44" i="3" s="1"/>
  <c r="F46" i="17"/>
  <c r="E19" i="17"/>
  <c r="E20" i="17" s="1"/>
  <c r="D15" i="18" s="1"/>
  <c r="K45" i="17"/>
  <c r="H44" i="17"/>
  <c r="I44" i="17" s="1"/>
  <c r="L43" i="17"/>
  <c r="M43" i="17" s="1"/>
  <c r="J43" i="17"/>
  <c r="K43" i="17" s="1"/>
  <c r="L44" i="17"/>
  <c r="M44" i="17" s="1"/>
  <c r="F44" i="17"/>
  <c r="G44" i="17" s="1"/>
  <c r="H45" i="17"/>
  <c r="I45" i="17" s="1"/>
  <c r="L45" i="17"/>
  <c r="M45" i="17" s="1"/>
  <c r="F45" i="17"/>
  <c r="G45" i="17" s="1"/>
  <c r="H43" i="17"/>
  <c r="I43" i="17" s="1"/>
  <c r="J50" i="17"/>
  <c r="L50" i="17"/>
  <c r="M50" i="17" s="1"/>
  <c r="F50" i="17"/>
  <c r="G50" i="17" s="1"/>
  <c r="S62" i="3"/>
  <c r="S61" i="3"/>
  <c r="S61" i="16"/>
  <c r="E15" i="16"/>
  <c r="F50" i="16"/>
  <c r="G50" i="16" s="1"/>
  <c r="J44" i="16"/>
  <c r="K44" i="16" s="1"/>
  <c r="F46" i="16"/>
  <c r="G46" i="16" s="1"/>
  <c r="J48" i="16"/>
  <c r="K48" i="16" s="1"/>
  <c r="H53" i="17"/>
  <c r="I53" i="17" s="1"/>
  <c r="L52" i="17"/>
  <c r="M52" i="17" s="1"/>
  <c r="E15" i="3"/>
  <c r="F52" i="17"/>
  <c r="G52" i="17" s="1"/>
  <c r="J52" i="17"/>
  <c r="K52" i="17" s="1"/>
  <c r="L53" i="17"/>
  <c r="M53" i="17" s="1"/>
  <c r="F53" i="17"/>
  <c r="G53" i="17" s="1"/>
  <c r="H51" i="17"/>
  <c r="I51" i="17" s="1"/>
  <c r="L51" i="17"/>
  <c r="M51" i="17" s="1"/>
  <c r="F51" i="17"/>
  <c r="S59" i="17"/>
  <c r="S60" i="3"/>
  <c r="S60" i="16"/>
  <c r="S59" i="16"/>
  <c r="S61" i="17"/>
  <c r="M47" i="17"/>
  <c r="S60" i="17"/>
  <c r="S62" i="17"/>
  <c r="G43" i="17"/>
  <c r="I52" i="17"/>
  <c r="E27" i="17"/>
  <c r="E28" i="17" s="1"/>
  <c r="E15" i="18" s="1"/>
  <c r="K51" i="17"/>
  <c r="G51" i="17"/>
  <c r="G46" i="17"/>
  <c r="K46" i="17"/>
  <c r="I47" i="17"/>
  <c r="G49" i="17"/>
  <c r="K50" i="17"/>
  <c r="K53" i="17"/>
  <c r="I46" i="17"/>
  <c r="I50" i="17"/>
  <c r="S59" i="3"/>
  <c r="J53" i="16"/>
  <c r="K53" i="16" s="1"/>
  <c r="H53" i="16"/>
  <c r="I53" i="16" s="1"/>
  <c r="F53" i="16"/>
  <c r="G53" i="16" s="1"/>
  <c r="F51" i="16"/>
  <c r="G51" i="16" s="1"/>
  <c r="J51" i="16"/>
  <c r="K51" i="16" s="1"/>
  <c r="H51" i="16"/>
  <c r="I51" i="16" s="1"/>
  <c r="H43" i="16"/>
  <c r="I43" i="16" s="1"/>
  <c r="H47" i="16"/>
  <c r="I47" i="16" s="1"/>
  <c r="J43" i="16"/>
  <c r="K43" i="16" s="1"/>
  <c r="F45" i="16"/>
  <c r="G45" i="16" s="1"/>
  <c r="H46" i="16"/>
  <c r="I46" i="16" s="1"/>
  <c r="J47" i="16"/>
  <c r="K47" i="16" s="1"/>
  <c r="F49" i="16"/>
  <c r="G49" i="16" s="1"/>
  <c r="H50" i="16"/>
  <c r="I50" i="16" s="1"/>
  <c r="J52" i="16"/>
  <c r="K52" i="16" s="1"/>
  <c r="F44" i="16"/>
  <c r="G44" i="16" s="1"/>
  <c r="H45" i="16"/>
  <c r="I45" i="16" s="1"/>
  <c r="F48" i="16"/>
  <c r="G48" i="16" s="1"/>
  <c r="H49" i="16"/>
  <c r="I49" i="16" s="1"/>
  <c r="F52" i="16"/>
  <c r="G52" i="16" s="1"/>
  <c r="E27" i="16"/>
  <c r="H43" i="3"/>
  <c r="F50" i="3"/>
  <c r="G50" i="3" s="1"/>
  <c r="L43" i="3"/>
  <c r="M43" i="3" s="1"/>
  <c r="F48" i="3"/>
  <c r="G48" i="3" s="1"/>
  <c r="H45" i="3"/>
  <c r="I45" i="3" s="1"/>
  <c r="H50" i="3"/>
  <c r="I50" i="3" s="1"/>
  <c r="L44" i="3"/>
  <c r="M44" i="3" s="1"/>
  <c r="J45" i="3"/>
  <c r="K45" i="3" s="1"/>
  <c r="J49" i="3"/>
  <c r="K49" i="3" s="1"/>
  <c r="L45" i="3"/>
  <c r="M45" i="3" s="1"/>
  <c r="J52" i="3"/>
  <c r="K52" i="3" s="1"/>
  <c r="L52" i="3"/>
  <c r="M52" i="3" s="1"/>
  <c r="H52" i="3"/>
  <c r="I52" i="3" s="1"/>
  <c r="L53" i="3"/>
  <c r="M53" i="3" s="1"/>
  <c r="J53" i="3"/>
  <c r="K53" i="3" s="1"/>
  <c r="F52" i="3"/>
  <c r="G52" i="3" s="1"/>
  <c r="E51" i="3"/>
  <c r="H49" i="3"/>
  <c r="I49" i="3" s="1"/>
  <c r="H53" i="3"/>
  <c r="I53" i="3" s="1"/>
  <c r="L48" i="3"/>
  <c r="M48" i="3" s="1"/>
  <c r="F53" i="3"/>
  <c r="G53" i="3" s="1"/>
  <c r="F49" i="3"/>
  <c r="G49" i="3" s="1"/>
  <c r="K43" i="3"/>
  <c r="F43" i="3"/>
  <c r="G43" i="3" s="1"/>
  <c r="I43" i="3"/>
  <c r="E27" i="3"/>
  <c r="E28" i="3" s="1"/>
  <c r="E13" i="18" s="1"/>
  <c r="T59" i="3" l="1"/>
  <c r="E32" i="17"/>
  <c r="G33" i="17" s="1"/>
  <c r="T59" i="16"/>
  <c r="T60" i="16" s="1"/>
  <c r="T61" i="16" s="1"/>
  <c r="T59" i="17"/>
  <c r="T60" i="17" s="1"/>
  <c r="T61" i="17" s="1"/>
  <c r="E66" i="17" s="1"/>
  <c r="E67" i="17" s="1"/>
  <c r="E28" i="16"/>
  <c r="T60" i="3"/>
  <c r="T61" i="3" s="1"/>
  <c r="E66" i="3" s="1"/>
  <c r="L51" i="3"/>
  <c r="M51" i="3" s="1"/>
  <c r="H51" i="3"/>
  <c r="I51" i="3" s="1"/>
  <c r="J51" i="3"/>
  <c r="K51" i="3" s="1"/>
  <c r="F51" i="3"/>
  <c r="G51" i="3" s="1"/>
  <c r="E33" i="17" l="1"/>
  <c r="E32" i="16"/>
  <c r="E14" i="18"/>
  <c r="E69" i="17"/>
  <c r="F15" i="18"/>
  <c r="E65" i="16"/>
  <c r="E66" i="16" s="1"/>
  <c r="G33" i="16"/>
  <c r="E33" i="16"/>
  <c r="E67" i="3"/>
  <c r="E19" i="3"/>
  <c r="E20" i="3" l="1"/>
  <c r="D13" i="18" s="1"/>
  <c r="E68" i="16"/>
  <c r="E69" i="16" s="1"/>
  <c r="G14" i="18" s="1"/>
  <c r="F14" i="18"/>
  <c r="E69" i="3"/>
  <c r="F13" i="18"/>
  <c r="G70" i="17"/>
  <c r="E70" i="17"/>
  <c r="G15" i="18" s="1"/>
  <c r="D16" i="18" l="1"/>
  <c r="E32" i="3"/>
  <c r="G69" i="16"/>
  <c r="E70" i="3"/>
  <c r="G13" i="18" s="1"/>
  <c r="E33" i="3" l="1"/>
  <c r="G33" i="3"/>
  <c r="G7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<sst xmlns="http://schemas.openxmlformats.org/spreadsheetml/2006/main" count="1852" uniqueCount="1193">
  <si>
    <t>화학물질 위험성평가</t>
    <phoneticPr fontId="1" type="noConversion"/>
  </si>
  <si>
    <t>MSDS 데이터 기반  |  물리화학적 · 환경오염 · 작업자 안전보건  |  유해성(강도) × 가능성(빈도)</t>
    <phoneticPr fontId="1" type="noConversion"/>
  </si>
  <si>
    <t>1.  평가 대상 화학물질 기본정보</t>
    <phoneticPr fontId="1" type="noConversion"/>
  </si>
  <si>
    <t>▼ 작성 Guide</t>
    <phoneticPr fontId="1" type="noConversion"/>
  </si>
  <si>
    <t>제품명</t>
    <phoneticPr fontId="1" type="noConversion"/>
  </si>
  <si>
    <t>MSDS 세션1</t>
    <phoneticPr fontId="1" type="noConversion"/>
  </si>
  <si>
    <t>제조사</t>
    <phoneticPr fontId="1" type="noConversion"/>
  </si>
  <si>
    <t>MSDS 최신개정일자</t>
    <phoneticPr fontId="1" type="noConversion"/>
  </si>
  <si>
    <t>MSDS 첫페이지 상단 또는 세션16</t>
    <phoneticPr fontId="1" type="noConversion"/>
  </si>
  <si>
    <r>
      <t>구성성분</t>
    </r>
    <r>
      <rPr>
        <b/>
        <sz val="8"/>
        <color rgb="FFFFFFFF"/>
        <rFont val="맑은 고딕"/>
        <family val="3"/>
        <charset val="129"/>
        <scheme val="major"/>
      </rPr>
      <t xml:space="preserve">
</t>
    </r>
    <r>
      <rPr>
        <sz val="8"/>
        <color theme="0" tint="-4.9989318521683403E-2"/>
        <rFont val="맑은 고딕"/>
        <family val="3"/>
        <charset val="129"/>
        <scheme val="major"/>
      </rPr>
      <t>*물(Water) 생략 가능,
필요시 행 추가</t>
    </r>
    <phoneticPr fontId="1" type="noConversion"/>
  </si>
  <si>
    <t>물질명</t>
    <phoneticPr fontId="1" type="noConversion"/>
  </si>
  <si>
    <t>CAS No.</t>
    <phoneticPr fontId="1" type="noConversion"/>
  </si>
  <si>
    <t>함량 (%)</t>
    <phoneticPr fontId="1" type="noConversion"/>
  </si>
  <si>
    <t>MSDS 세션3
(가장 높은 함량 순으로 상위에 기재)</t>
    <phoneticPr fontId="1" type="noConversion"/>
  </si>
  <si>
    <t>취급부서 / 공정</t>
    <phoneticPr fontId="1" type="noConversion"/>
  </si>
  <si>
    <t>사업장 취급현황에 맞게 작성</t>
    <phoneticPr fontId="1" type="noConversion"/>
  </si>
  <si>
    <t>저장·보관(예정) 장소</t>
    <phoneticPr fontId="1" type="noConversion"/>
  </si>
  <si>
    <t>도입 배경or목적</t>
    <phoneticPr fontId="1" type="noConversion"/>
  </si>
  <si>
    <r>
      <t xml:space="preserve">▼ 연관 평가항목  </t>
    </r>
    <r>
      <rPr>
        <sz val="9"/>
        <color theme="1" tint="0.34998626667073579"/>
        <rFont val="맑은 고딕"/>
        <family val="3"/>
        <charset val="129"/>
        <scheme val="major"/>
      </rPr>
      <t>(위험성평가 어느 항목에 사용되는지)</t>
    </r>
    <phoneticPr fontId="1" type="noConversion"/>
  </si>
  <si>
    <t>★H-Code
(유해위험문구)</t>
    <phoneticPr fontId="1" type="noConversion"/>
  </si>
  <si>
    <r>
      <t xml:space="preserve">MSDS 세션2. H코드 전체 입력
쉼표(,) 또는 공백( )으로 코드 구분
</t>
    </r>
    <r>
      <rPr>
        <u/>
        <sz val="9"/>
        <color theme="1" tint="0.249977111117893"/>
        <rFont val="맑은 고딕"/>
        <family val="3"/>
        <charset val="129"/>
        <scheme val="major"/>
      </rPr>
      <t>★H314 / H340 / H350 / H360의 경우, Cat(구분) 표기</t>
    </r>
    <r>
      <rPr>
        <sz val="9"/>
        <color theme="1" tint="0.249977111117893"/>
        <rFont val="맑은 고딕"/>
        <family val="3"/>
        <charset val="129"/>
        <scheme val="major"/>
      </rPr>
      <t>까지 정확히 포함하여 입력 [예시] 'H350 Cat1A' 또는 'H350 Cat1B'   (띄어쓰기 유의!)</t>
    </r>
    <phoneticPr fontId="1" type="noConversion"/>
  </si>
  <si>
    <t>①기본데이터 입력 Sheet - 2.  MSDS 세션별 데이터 입력
Sec.2와 수식 연계된 항목으로 정확히 입력 필요</t>
    <phoneticPr fontId="1" type="noConversion"/>
  </si>
  <si>
    <t>2.  MSDS 세션별 데이터 입력</t>
    <phoneticPr fontId="1" type="noConversion"/>
  </si>
  <si>
    <r>
      <rPr>
        <b/>
        <sz val="9"/>
        <color theme="1" tint="0.249977111117893"/>
        <rFont val="Segoe UI Emoji"/>
        <family val="2"/>
      </rPr>
      <t>📌</t>
    </r>
    <r>
      <rPr>
        <b/>
        <sz val="9"/>
        <color theme="1" tint="0.249977111117893"/>
        <rFont val="맑은 고딕"/>
        <family val="3"/>
        <charset val="129"/>
        <scheme val="major"/>
      </rPr>
      <t xml:space="preserve"> </t>
    </r>
    <r>
      <rPr>
        <b/>
        <u/>
        <sz val="9"/>
        <color theme="1" tint="0.249977111117893"/>
        <rFont val="맑은 고딕"/>
        <family val="3"/>
        <charset val="129"/>
        <scheme val="major"/>
      </rPr>
      <t>입력 방법</t>
    </r>
    <r>
      <rPr>
        <sz val="9"/>
        <color theme="1" tint="0.249977111117893"/>
        <rFont val="맑은 고딕"/>
        <family val="3"/>
        <charset val="129"/>
        <scheme val="major"/>
      </rPr>
      <t xml:space="preserve">
    - 초록색 셀(D열)은 17행 H-Code 입력 내용과 수식으로 연동 되어, 별도 입력하지 않습니다. (17행 H-Code 정확히 입력 要)
    - 노란색 셀(D열)은 MSDS에서 확인한 값을 직접 입력하세요.  숫자 셀은 숫자만, 선택 셀은 드롭다운(</t>
    </r>
    <r>
      <rPr>
        <sz val="9"/>
        <color theme="1" tint="0.249977111117893"/>
        <rFont val="Segoe UI Symbol"/>
        <family val="3"/>
      </rPr>
      <t>▼</t>
    </r>
    <r>
      <rPr>
        <sz val="9"/>
        <color theme="1" tint="0.249977111117893"/>
        <rFont val="맑은 고딕"/>
        <family val="3"/>
        <charset val="129"/>
        <scheme val="major"/>
      </rPr>
      <t xml:space="preserve">)에서 선택하세요.
    - </t>
    </r>
    <r>
      <rPr>
        <u/>
        <sz val="9"/>
        <color theme="1" tint="0.249977111117893"/>
        <rFont val="맑은 고딕"/>
        <family val="3"/>
        <charset val="129"/>
        <scheme val="major"/>
      </rPr>
      <t>값이 없거나 해당 없으면 '없음'을 선택하거나 입력하세요. (빈칸으로 두면 숫자 '0'으로 인식되어 위험성평가 오류 발생)</t>
    </r>
    <r>
      <rPr>
        <sz val="9"/>
        <color theme="1" tint="0.249977111117893"/>
        <rFont val="맑은 고딕"/>
        <family val="3"/>
        <charset val="129"/>
        <scheme val="major"/>
      </rPr>
      <t xml:space="preserve">
     </t>
    </r>
    <r>
      <rPr>
        <sz val="9"/>
        <color theme="1" tint="0.249977111117893"/>
        <rFont val="Segoe UI Symbol"/>
        <family val="3"/>
      </rPr>
      <t>★</t>
    </r>
    <r>
      <rPr>
        <sz val="9"/>
        <color theme="1" tint="0.249977111117893"/>
        <rFont val="맑은 고딕"/>
        <family val="3"/>
        <charset val="129"/>
        <scheme val="major"/>
      </rPr>
      <t xml:space="preserve"> 이 시트의 값이 각 </t>
    </r>
    <r>
      <rPr>
        <sz val="9"/>
        <color theme="1" tint="0.249977111117893"/>
        <rFont val="Segoe UI Symbol"/>
        <family val="3"/>
      </rPr>
      <t>②</t>
    </r>
    <r>
      <rPr>
        <sz val="9"/>
        <color theme="1" tint="0.249977111117893"/>
        <rFont val="맑은 고딕"/>
        <family val="3"/>
        <charset val="129"/>
        <scheme val="major"/>
      </rPr>
      <t>~</t>
    </r>
    <r>
      <rPr>
        <sz val="9"/>
        <color theme="1" tint="0.249977111117893"/>
        <rFont val="Segoe UI Symbol"/>
        <family val="3"/>
      </rPr>
      <t>④</t>
    </r>
    <r>
      <rPr>
        <sz val="9"/>
        <color theme="1" tint="0.249977111117893"/>
        <rFont val="맑은 고딕"/>
        <family val="3"/>
        <charset val="129"/>
        <scheme val="major"/>
      </rPr>
      <t xml:space="preserve"> 위험성 평가Sheet의 E열과 자동 연동됩니다. (우측 H열의 '연관 평가항목' 참고)</t>
    </r>
    <phoneticPr fontId="1" type="noConversion"/>
  </si>
  <si>
    <t>구분</t>
    <phoneticPr fontId="1" type="noConversion"/>
  </si>
  <si>
    <t>입력 항목</t>
    <phoneticPr fontId="1" type="noConversion"/>
  </si>
  <si>
    <t>★입력란</t>
    <phoneticPr fontId="1" type="noConversion"/>
  </si>
  <si>
    <t>비고 (단위 등)</t>
    <phoneticPr fontId="1" type="noConversion"/>
  </si>
  <si>
    <t xml:space="preserve">  ▶  Sec 2  —  유해·위험 문구 (H-Code)</t>
    <phoneticPr fontId="1" type="noConversion"/>
  </si>
  <si>
    <t>인화성</t>
    <phoneticPr fontId="1" type="noConversion"/>
  </si>
  <si>
    <t>• H220: 인화한계 하한(LFL)≤13% 또는 연소범위≥12% (극인화성 가스)
• H221: H220 기준 미달 (인화성 가스)
• H222: 인화점&lt;23°C 에어로졸 (극인화성 에어로졸)
• H223: 인화점23~60°C 에어로졸 (인화성 에어로졸)
• H224: 인화점&lt;23°C 및 끓는점≤35°C (극인화성 액체·증기)
• H225: 인화점&lt;23°C 및 끓는점&gt;35°C (고인화성 액체·증기)
• H226: 인화점23~60°C (인화성 액체·증기)
• H227: 인화점60~93°C (가연성 액체)
• H228: 연소시간≤45초 또는 연소속도≥76mm/min (인화성 고체)</t>
    <phoneticPr fontId="1" type="noConversion"/>
  </si>
  <si>
    <t>수식으로 자동 입력</t>
    <phoneticPr fontId="1" type="noConversion"/>
  </si>
  <si>
    <t>Sec2 그림문자·H코드 확인
→ 17행에 입력한 H-Code 자동 연계</t>
    <phoneticPr fontId="1" type="noConversion"/>
  </si>
  <si>
    <t>【②-7 인화성 등급】
5점 : H220, H221, H222, H224
4점 : H223, H225
3점 : H226, H228
2점 : H227
★Sec9 인화점(45행)과 함께 최종 판단</t>
    <phoneticPr fontId="1" type="noConversion"/>
  </si>
  <si>
    <t>폭발성</t>
    <phoneticPr fontId="1" type="noConversion"/>
  </si>
  <si>
    <t>• H200~H205: 폭발성 1.1~1.5류
• H206: 자기반응성/유기과산화물 TypeB
• H207: TypeC/D
• H208: TypeE/F
• H240: 가열하면 폭발할 수 있음
• H241: 가열하면 화재 또는 폭발할 수 있음
• H242: 가열하면 화재를 일으킬 수 있음</t>
    <phoneticPr fontId="1" type="noConversion"/>
  </si>
  <si>
    <t>"</t>
    <phoneticPr fontId="1" type="noConversion"/>
  </si>
  <si>
    <t>【②-5 불안정성】 &amp; 【②-8 폭발성·산화성】
5점 : H200~H205
4점 : H206, H240
3점 : H207, H241
2점 : H208, H242
★Sec10 분해온도(53행)와 함께 최종 판단</t>
    <phoneticPr fontId="1" type="noConversion"/>
  </si>
  <si>
    <t>산화성</t>
    <phoneticPr fontId="1" type="noConversion"/>
  </si>
  <si>
    <t>• H270: 극강산화성 Cat1
• H271: 강산화성 Cat1
• H272: 가연물 화재 촉진 Cat2,3</t>
    <phoneticPr fontId="1" type="noConversion"/>
  </si>
  <si>
    <t>【②-8 폭발성·산화성】
5점 : H270
4점 : H271
3점 : H272</t>
    <phoneticPr fontId="1" type="noConversion"/>
  </si>
  <si>
    <t>물 반응성</t>
    <phoneticPr fontId="1" type="noConversion"/>
  </si>
  <si>
    <t>• H260: 물과 접촉 시 자연발화성 가스 발생
• H261: 물과 접촉 시 인화성 가스 발생</t>
    <phoneticPr fontId="1" type="noConversion"/>
  </si>
  <si>
    <t>【②-1 물·산·염기 접촉】 
5점 : H260
5점 : H261
★Sec10 물반응 정도(51행)와 함께 최종 판단</t>
    <phoneticPr fontId="1" type="noConversion"/>
  </si>
  <si>
    <t>금속부식성</t>
    <phoneticPr fontId="1" type="noConversion"/>
  </si>
  <si>
    <t>• H290: 금속부식성 물질</t>
    <phoneticPr fontId="1" type="noConversion"/>
  </si>
  <si>
    <t>【②-1 물·산·염기 접촉】 
4점 : H290
★Sec10 물반응 정도(51행)와 함께 최종 판단</t>
    <phoneticPr fontId="1" type="noConversion"/>
  </si>
  <si>
    <t>자연발화·자기발열</t>
    <phoneticPr fontId="1" type="noConversion"/>
  </si>
  <si>
    <t>• H250: 공기접촉 즉시 자연발화
• H251: 대량에서 자기발열·화재 (Cat1)
• H252: 대량에서 자기발열·화재 (Cat2)</t>
    <phoneticPr fontId="1" type="noConversion"/>
  </si>
  <si>
    <t>【②-2 공기·수분 반응·자연발화】
5점 : H250
4점 : H251
3점 : H252
★Sec9 자연발화온도(47행)와 함께 최종 판단</t>
    <phoneticPr fontId="1" type="noConversion"/>
  </si>
  <si>
    <t>급성독성 흡입</t>
    <phoneticPr fontId="1" type="noConversion"/>
  </si>
  <si>
    <t>• H330: 흡입 시 치명 (Cat1~2)
• H331: 흡입 시 독성 (Cat3)
• H332: 흡입 시 유해 (Cat4)</t>
    <phoneticPr fontId="1" type="noConversion"/>
  </si>
  <si>
    <t>【④-1 흡입독성】
5점 : H330
4점 : H331
3점 : H332
2점 : H333
★Sec11 흡입독성 LC50(56,57행)과 함께 최종 판단</t>
    <phoneticPr fontId="1" type="noConversion"/>
  </si>
  <si>
    <t>급성독성 경구·경피</t>
    <phoneticPr fontId="1" type="noConversion"/>
  </si>
  <si>
    <t>• H300: 삼키면 치명 (Cat1~2)
• H301: 삼키면 독성 (Cat3)
• H302: 삼키면 유해 (Cat4)
• H304: 삼켜서 기도로 유입되면 치명 (Cat1)
• H305: 삼켜서 기도로 유입되면 유해 (Cat2)
• H310: 피부와 접촉하면 치명 (Cat1~2)
• H311: 피부와 접촉하면 독성 (Cat3)
• H312: 피부와 접촉하면 유해 (Cat4)</t>
    <phoneticPr fontId="1" type="noConversion"/>
  </si>
  <si>
    <t xml:space="preserve">【④-2 경구·경피독성】
5점 : H300, H310
4점 : H301, H304, H311
3점 : H305
2점 : H302, H312
★Sec11 경구LD50(58행), 경피LD50(59행)과 함께 최종 판단
</t>
    <phoneticPr fontId="1" type="noConversion"/>
  </si>
  <si>
    <t>피부 부식성·자극성</t>
    <phoneticPr fontId="1" type="noConversion"/>
  </si>
  <si>
    <t>• H314 Cat1A: 즉각 피부 부식
• H314 Cat1/1B: 4시간 내 피부 부식 (Cat1)
• H315: 피부 자극성 (Cat2)
• H316: 경미한 피부 자극 (Cat3)
• H317: 피부 과민성(감작성) (Cat1)</t>
    <phoneticPr fontId="1" type="noConversion"/>
  </si>
  <si>
    <t>【④-3 피부·눈 자극성 및 부식성】
5점 : H314 Cat1A
4점 : H314 Cat1 / Cat1B
3점 : H315, H317
2점 : H316</t>
    <phoneticPr fontId="1" type="noConversion"/>
  </si>
  <si>
    <t>눈 손상·자극성</t>
    <phoneticPr fontId="1" type="noConversion"/>
  </si>
  <si>
    <t>• H318: 비가역적 눈 손상 (Cat1)
• H319: 가역적 눈 자극 (Cat2)
• H320: 경미한 눈 자극 (Cat3)</t>
    <phoneticPr fontId="1" type="noConversion"/>
  </si>
  <si>
    <t>【④-3 피부·눈 자극성 및 부식성】
4점: H318
3점: H319
2점: H320</t>
    <phoneticPr fontId="1" type="noConversion"/>
  </si>
  <si>
    <t>발암성</t>
    <phoneticPr fontId="1" type="noConversion"/>
  </si>
  <si>
    <t>• H350 Cat1A: 발암 확인 (IARC 1)
• H350 Cat1B: 발암 추정
• H351: 발암 의심 (Cat2)</t>
    <phoneticPr fontId="1" type="noConversion"/>
  </si>
  <si>
    <t>【④-4 발암성】
5점 : H350 Cat1A
4점 : H350 Cat1B
3점 : H351
★Sec11 IARC Group(60행)과 함께 최종 판단</t>
    <phoneticPr fontId="1" type="noConversion"/>
  </si>
  <si>
    <t>생식독성</t>
    <phoneticPr fontId="1" type="noConversion"/>
  </si>
  <si>
    <t>• H360 Cat1A: 생식독성 확인
• H360 Cat1B: 생식독성 추정
• H361: 생식독성 의심
• H362: 수유독성</t>
    <phoneticPr fontId="1" type="noConversion"/>
  </si>
  <si>
    <t>【④-5 생식·발달독성】
5점 : H360 Cat1A
4점 : H360 Cat1B
3점 : H361
2점: H362</t>
    <phoneticPr fontId="1" type="noConversion"/>
  </si>
  <si>
    <t>STOT 반복독성</t>
    <phoneticPr fontId="1" type="noConversion"/>
  </si>
  <si>
    <t>• H370: 1회 노출 — 장기 손상 확인
• H371: 1회 노출 — 장기 손상 가능
• H372: 반복 노출 — 장기 손상 확인
• H373: 반복 노출 — 장기 손상 가능</t>
    <phoneticPr fontId="1" type="noConversion"/>
  </si>
  <si>
    <t>【④-6 STOT(특정표적장기독성) 및 호흡기 과민성】
5점 : H370
4점 : H371
3점 : H372
2점 : H373</t>
    <phoneticPr fontId="1" type="noConversion"/>
  </si>
  <si>
    <t>호흡기 과민성</t>
    <phoneticPr fontId="1" type="noConversion"/>
  </si>
  <si>
    <t>• H334: 호흡기 과민성 Cat1
• H335: 호흡기 자극성
• H336: 마취성</t>
    <phoneticPr fontId="1" type="noConversion"/>
  </si>
  <si>
    <t>【④-6 STOT(특정표적장기독성) 및 호흡기 과민성】
4점 : H334
3점 : H335
2점 : H336</t>
    <phoneticPr fontId="1" type="noConversion"/>
  </si>
  <si>
    <t>변이원성</t>
    <phoneticPr fontId="1" type="noConversion"/>
  </si>
  <si>
    <t>• H340 Cat1A: 변이원성 확인
• H340 Cat1B: 변이원성 추정
• H341: 변이원성 의심</t>
    <phoneticPr fontId="1" type="noConversion"/>
  </si>
  <si>
    <t>【④-7 변이원성】
5점 : H340 Cat1A
4점 : H340 Cat1B
3점 : H341</t>
    <phoneticPr fontId="1" type="noConversion"/>
  </si>
  <si>
    <t>수생 급성독성</t>
    <phoneticPr fontId="1" type="noConversion"/>
  </si>
  <si>
    <t>• H400: 수생 급성 Cat1 (LC50≤1mg/L)
• H401: 수생 급성 Cat2
• H402: 수생 급성 Cat3</t>
    <phoneticPr fontId="1" type="noConversion"/>
  </si>
  <si>
    <t>【③-1 수생 생물 급성독성】
5점 : H400
4점 : H401
3점 : H402
★Sec12 어류LC50, 물벼룩/갑각류EC50(61,62행)과 함께 최종 판단</t>
    <phoneticPr fontId="1" type="noConversion"/>
  </si>
  <si>
    <t>수생 만성독성</t>
    <phoneticPr fontId="1" type="noConversion"/>
  </si>
  <si>
    <t>• H410: 수생 만성 Cat1
• H411: 수생 만성 Cat2
• H412: 수생 만성 Cat3
• H413: 수생 만성 Cat4</t>
    <phoneticPr fontId="1" type="noConversion"/>
  </si>
  <si>
    <t>【③-2 수생 생물 만성독성】
5점 : H410
4점 : H411
3점 : H412
2점 : H413</t>
    <phoneticPr fontId="1" type="noConversion"/>
  </si>
  <si>
    <t>오존층 파괴</t>
    <phoneticPr fontId="1" type="noConversion"/>
  </si>
  <si>
    <t>• H420 : 오존층 파괴 물질(ODS)</t>
    <phoneticPr fontId="1" type="noConversion"/>
  </si>
  <si>
    <t>【③-8 대기오염 영향 (VOC, ODS)】
5점 : H420
★Sec9 증기압(48행)으로 VOC 수준과 함께 최종 판단</t>
    <phoneticPr fontId="1" type="noConversion"/>
  </si>
  <si>
    <t xml:space="preserve">  ▶  Sec 8  —  노출기준 (TWA)</t>
    <phoneticPr fontId="1" type="noConversion"/>
  </si>
  <si>
    <t>작업환경 노출기준 TWA (mg/m³)</t>
    <phoneticPr fontId="1" type="noConversion"/>
  </si>
  <si>
    <t>국내 노출기준 TWA(mg/m³) 확인
숫자만 입력 (단위 주의), 없으면 '없음' 입력</t>
    <phoneticPr fontId="1" type="noConversion"/>
  </si>
  <si>
    <t>mg/m³</t>
  </si>
  <si>
    <t>Sec8에서 노출기준 TWA(mg/m³) 확인
없으면 '없음'
예) 황산: 0.2  톨루엔: 188  아세톤: 1,200</t>
    <phoneticPr fontId="1" type="noConversion"/>
  </si>
  <si>
    <t>【④-8 작업환경 노출기준(TWA)】
단위가 mg/m³인 경우, TWA 수치 낮을수록 위험↑
≥100=1점, 10~100=2점, 1~10=3점, 0.1~1=4점, &lt;0.1=5점</t>
    <phoneticPr fontId="1" type="noConversion"/>
  </si>
  <si>
    <t>작업환경 노출기준 TWA (ppm)</t>
  </si>
  <si>
    <t>mg/m³와 병기시 ppm값도 입력.
숫자만 입력 (단위 주의), 없으면 '없음' 입력</t>
    <phoneticPr fontId="1" type="noConversion"/>
  </si>
  <si>
    <t>ppm</t>
  </si>
  <si>
    <t>mg/m³와 병기시 ppm값도 입력. 없으면 '없음'
예) 황산: 없음  톨루엔: 50  아세톤: 500</t>
    <phoneticPr fontId="1" type="noConversion"/>
  </si>
  <si>
    <t>【④-8 작업환경 노출기준(TWA)】
단위가 ppm인 경우,
≥50=1점, 5~50=2점, 0.5~5=3점, 0.05~0.5=4점, &lt;0.05=5점</t>
    <phoneticPr fontId="1" type="noConversion"/>
  </si>
  <si>
    <t xml:space="preserve">  ▶  Sec 9  —  물리화학적 특성</t>
    <phoneticPr fontId="1" type="noConversion"/>
  </si>
  <si>
    <t>인화점
(Flash Point)</t>
    <phoneticPr fontId="1" type="noConversion"/>
  </si>
  <si>
    <t>숫자만 입력 (단위 주의), 없으면 '없음' 입력</t>
    <phoneticPr fontId="1" type="noConversion"/>
  </si>
  <si>
    <t>°C</t>
  </si>
  <si>
    <t>숫자 입력. 인화점 없으면 '없음' 입력
예) 아세톤: -20  에탄올: 13  황산: 없음</t>
    <phoneticPr fontId="1" type="noConversion"/>
  </si>
  <si>
    <t>【②-7 인화성】
인화점 수치로 인화성 등급 판정</t>
    <phoneticPr fontId="1" type="noConversion"/>
  </si>
  <si>
    <t>끓는점
(Boiling Point)</t>
    <phoneticPr fontId="1" type="noConversion"/>
  </si>
  <si>
    <t>숫자 입력. 없으면 '없음'
예) 황산(96%): 330  아세톤: 56</t>
    <phoneticPr fontId="1" type="noConversion"/>
  </si>
  <si>
    <t>【②-7 인화성】
인화성 4,5점 판정 시 적용</t>
    <phoneticPr fontId="1" type="noConversion"/>
  </si>
  <si>
    <t>자연발화온도
(AIT; Auto Ignition Temperature)</t>
    <phoneticPr fontId="1" type="noConversion"/>
  </si>
  <si>
    <t>숫자 입력. 없으면 '없음'
예) 에탄올: 365  아세톤: 465</t>
    <phoneticPr fontId="1" type="noConversion"/>
  </si>
  <si>
    <t>【②-2 공기·수분 반응·자연발화】
AIT &lt;54°C → 5점, &lt;100°C → 4점, &lt;200°C → 3점</t>
    <phoneticPr fontId="1" type="noConversion"/>
  </si>
  <si>
    <t>증기압
(Vapor Pressure)</t>
    <phoneticPr fontId="1" type="noConversion"/>
  </si>
  <si>
    <t>숫자만 입력 (단위 주의), 없으면 '없음' 입력
※ Pa→mmHg 변환: ÷133.3</t>
    <phoneticPr fontId="1" type="noConversion"/>
  </si>
  <si>
    <t>mmHg
@20°C</t>
    <phoneticPr fontId="1" type="noConversion"/>
  </si>
  <si>
    <t>숫자 입력. 없으면 '없음'
※ Pa→mmHg 변환: ÷133.3
예) 황산(90%): 6Pa=0.045  아세톤: 180</t>
    <phoneticPr fontId="1" type="noConversion"/>
  </si>
  <si>
    <t>【③-8 대기오염(VOC)】
증기압 높을수록 VOC 발생↑ → 대기오염 유해성↑
1mmHg 미만=1점, 1~10=2점, 10~100=3점, 100 이상 =4점</t>
    <phoneticPr fontId="1" type="noConversion"/>
  </si>
  <si>
    <t>logKow
(옥탄올/물 분배계수)</t>
    <phoneticPr fontId="1" type="noConversion"/>
  </si>
  <si>
    <t>숫자만 입력, 없으면 '없음' 입력
(음수: 수용성·이온화 물질)</t>
    <phoneticPr fontId="1" type="noConversion"/>
  </si>
  <si>
    <t>-</t>
  </si>
  <si>
    <t>숫자 입력. 없으면 '없음'
음수→수용성·이온화 물질
예) 황산: -2.2  아세톤: -0.24  벤젠: 2.13</t>
    <phoneticPr fontId="1" type="noConversion"/>
  </si>
  <si>
    <t>【③-4 토양 이동성】 &amp; 【③-6 생물농축성】
logKow 낮을수록(음수) 이동성↑(지하수로 유출 확산), 생물농축성↓
-이동성 : ≥4.5=1점, 3.5~4.5=2점, 2.7~3.5=3점, 2~2.7=4점, ＜2=5점
-농축성 : 
예) 황산 logKow=-2.2 → 토양이동성 높음·농축 없음</t>
    <phoneticPr fontId="1" type="noConversion"/>
  </si>
  <si>
    <t xml:space="preserve">  ▶  Sec 10  —  반응성 정성 평가</t>
  </si>
  <si>
    <t>물과의 반응 정도</t>
  </si>
  <si>
    <t>Sec10 '피해야 할 물질'·Sec5 물 반응 설명 확인
• H260 물 접촉시 자연발화성 가스 발생
• H261 물 접촉시 인화성 가스 발생
• 격렬반응(ΔT&gt;50°C): 심한 발열
• 중등반응(ΔT10~50°C): 중간 발열
• 미약반응(ΔT&lt;10°C): 약한 발열
• 비반응: 반응 없음</t>
    <phoneticPr fontId="1" type="noConversion"/>
  </si>
  <si>
    <t>드롭다운</t>
    <phoneticPr fontId="1" type="noConversion"/>
  </si>
  <si>
    <t>Sec10 '피해야 할 물질'·Sec5 물 반응 설명 확인
• H260 물 접촉시 자연발화성 가스 발생
• H261 물 접촉시 인화성 가스 발생
• 격렬반응(ΔT&gt;50°C): 심한 발열
• 중등반응(ΔT10~50°C): 중간 발열
• 미약반응(ΔT&lt;10°C): 약한 발열
• 비반응: 반응 없음
예) 황산: 격렬반응(ΔT&gt;50°C)</t>
    <phoneticPr fontId="1" type="noConversion"/>
  </si>
  <si>
    <t>【②-1 반응성 (물·산·염기 접촉)】
MSDS Sec10 '피해야 할 물질' + Sec5 물반응 설명 확인
격렬반응(ΔT&gt;50°C)→4점, 중등(10~50)→3점
미약(ΔT&lt;10°C)→2점, 비반응→1점</t>
    <phoneticPr fontId="1" type="noConversion"/>
  </si>
  <si>
    <t xml:space="preserve">금기물질 유형 수 </t>
    <phoneticPr fontId="1" type="noConversion"/>
  </si>
  <si>
    <t>Sec10 '피해야 할 물질' 목록에서
서로 다른 물질 유형 수를 세어 숫자 입력
예) 황산: 금속분말·알코올·인·아세톤·아세트알데히드·아크릴로니트릴·유기물류 = 7종</t>
    <phoneticPr fontId="1" type="noConversion"/>
  </si>
  <si>
    <t>종류 수</t>
    <phoneticPr fontId="1" type="noConversion"/>
  </si>
  <si>
    <t>Sec10 '피해야 할 물질' 목록에서
서로 다른 물질 유형 수를 세어 입력
예) 황산: 금속분말·알코올·인·아세톤·아세트알데히드·아크릴로니트릴·유기물류 = 7종</t>
    <phoneticPr fontId="1" type="noConversion"/>
  </si>
  <si>
    <t>【②-3 혼합 위험 반응성】
MSDS Sec10 '피해야 할 물질' 목록에서
금기물질 유형 수를 직접 세어 입력
≥5종→4점, 3~4종→3점, 1~2종→2점, 없음→1점</t>
    <phoneticPr fontId="1" type="noConversion"/>
  </si>
  <si>
    <t>분해온도 (Decomposition Temp.)</t>
  </si>
  <si>
    <t>숫자 입력. 없으면 '없음' 입력</t>
    <phoneticPr fontId="1" type="noConversion"/>
  </si>
  <si>
    <t>숫자 입력. 없으면 '없음'
예) 황산: 340  없으면 '없음'</t>
    <phoneticPr fontId="1" type="noConversion"/>
  </si>
  <si>
    <t>【②-5 폭발·급분해 불안정성】
분해온도 낮을수록 열 불안정성↑
분해온도 &lt;100°C → 4점, &lt;150°C → 3점, &lt;300°C → 2점</t>
    <phoneticPr fontId="1" type="noConversion"/>
  </si>
  <si>
    <t>분해 생성물
독성 수준</t>
    <phoneticPr fontId="1" type="noConversion"/>
  </si>
  <si>
    <t>Sec10 분해생성물 + Sec5 연소생성물 독성 확인
• CMR급: 다이옥신·HCN 등 확정 고독성
• GHS Cat1~2 독성: HCl·SO₂·포름알데히드
• GHS Cat3~4 자극성: CO·황산화물 등
• 저독성·TLV이하: 환기로 관리 가능
• 없음(CO₂·H₂O): 무해 생성물만
예) 황산→황산화물(SO₂): GHS Cat3~4 자극성</t>
    <phoneticPr fontId="1" type="noConversion"/>
  </si>
  <si>
    <t>드롭다운</t>
  </si>
  <si>
    <t>【②-4 독성 부산물·분해·연소 생성물】
MSDS Sec10 '분해 생성물' + Sec5 '연소 생성물' 확인
CMR급(다이옥신·HCN)→5점
GHS Cat1~2 독성(HCl·SO₂)→4점
GHS Cat3~4 자극성(CO·황산화물)→3점</t>
    <phoneticPr fontId="1" type="noConversion"/>
  </si>
  <si>
    <t xml:space="preserve">  ▶  Sec 11  —  독성 데이터 (LD50 / LC50)</t>
  </si>
  <si>
    <t>흡입독성 LC50
- 증기
(rat, 4h)</t>
    <phoneticPr fontId="1" type="noConversion"/>
  </si>
  <si>
    <t>Sec11에서 'LC50(흡입-증기*)' 수치 확인
*메탄올, 아세톤 등 휘발성 액체인 경우
1시간 LC50수치만 확인되면, ×4하여 4시간으로 환산하여 입력.
없으면 '없음' 입력
예) 황산: 0.375  에탄올: &gt;20</t>
    <phoneticPr fontId="1" type="noConversion"/>
  </si>
  <si>
    <t>mg/L</t>
  </si>
  <si>
    <t>【④-1 흡입독성(증기)】 
LC50 낮을수록 고독성
≤0.5=5점, 0.5~2.0=4점, 2.0~20=3점, 20~50=2점, &gt;50=1점</t>
    <phoneticPr fontId="1" type="noConversion"/>
  </si>
  <si>
    <t>흡입독성 LC50
 - 분진/미스트
(rat, 4h)</t>
    <phoneticPr fontId="1" type="noConversion"/>
  </si>
  <si>
    <t>Sec11에서 'LC50(흡입-분진/미스트*)' 수치 확인
*촉매, 안료 등 분말/미세입자인 경우
1시간 LC50수치만 확인되면, ×4하여 4시간으로 환산하여 입력.
없으면 '없음' 입력
예) 황산: 0.375  에탄올: &gt;20</t>
    <phoneticPr fontId="1" type="noConversion"/>
  </si>
  <si>
    <t>【④-1 흡입독성(분진/미스트)】 
LC50 낮을수록 고독성
≤0.5=5점, 0.5~1=4점, 1~5=3점, 5~12.5=2점, &gt;12.5=1점</t>
    <phoneticPr fontId="1" type="noConversion"/>
  </si>
  <si>
    <t>경구독성 LD50
(rat)</t>
    <phoneticPr fontId="1" type="noConversion"/>
  </si>
  <si>
    <t>Sec11에서 'LD50(경구)' 수치 확인
없으면 '없음'</t>
    <phoneticPr fontId="1" type="noConversion"/>
  </si>
  <si>
    <t>mg/kg</t>
  </si>
  <si>
    <t>Sec11에서 'LD50(경구)' 수치 확인
없으면 '없음'
예) 황산: 2140  아세톤: 5800  시안화칼륨: 5</t>
  </si>
  <si>
    <t>【④-2 경구·경피독성】
LD50 낮을수록 고독성
≤50=5점, 50~300=4점, 300~1000=3점, 1000~2000=2점, &gt;2000=1점</t>
    <phoneticPr fontId="1" type="noConversion"/>
  </si>
  <si>
    <t>경피독성 LD50</t>
  </si>
  <si>
    <t>Sec11에서 'LD50(경피)' 수치 확인
없으면 '없음' 입력</t>
    <phoneticPr fontId="1" type="noConversion"/>
  </si>
  <si>
    <t>Sec11에서 'LD50(경피)' 수치 확인
없으면 '없음'</t>
  </si>
  <si>
    <t>【④-2 경구·경피독성】
LD50 낮을수록 고독성
≤200=5점, 200~1000=4점, 1000~1500=3점, 1500~2000=2점, &gt;2000=1점</t>
    <phoneticPr fontId="1" type="noConversion"/>
  </si>
  <si>
    <t>IARC 발암성 분류</t>
  </si>
  <si>
    <t>Sec11 발암성 항목에서 IARC Group 확인
• Group 1: 인체 발암성 확인
• Group 2A: 발암 가능성 높음
• Group 2B: 발암 가능성 있음
• Group 3: 분류 불가
예) 황산(강산미스트): Group 1</t>
  </si>
  <si>
    <t>Sec11 발암성 항목에서 IARC Group 확인
• Group 1: 인체 발암성 확인
• Group 2A: 발암 가능성 높음
• Group 2B: 발암 가능성 있음
• Group 3: 분류 불가
예) 황산(강산미스트): Group 1</t>
    <phoneticPr fontId="1" type="noConversion"/>
  </si>
  <si>
    <t>【④-4 발암성 분류】
IARC Group 1→5점, 2A→4점, 2B→3점, 3→2점</t>
    <phoneticPr fontId="1" type="noConversion"/>
  </si>
  <si>
    <t xml:space="preserve">  ▶  Sec 12  —  환경 데이터</t>
  </si>
  <si>
    <t>수생 어류 LC50 (96h)</t>
  </si>
  <si>
    <t>Sec12에서 '어류 LC50(96h)' 확인
없으면 '없음'. 단위 주의: μg/L → ÷1000
예) 황산: 16~28 → 16(보수적)  아세톤: 5.8</t>
  </si>
  <si>
    <t>Sec12에서 '어류 LC50(96h)' 확인
없으면 '없음'. 단위 주의: μg/L → ÷1000
예) 황산: 16~28 → 16(보수적)  아세톤: 5.8</t>
    <phoneticPr fontId="1" type="noConversion"/>
  </si>
  <si>
    <t>【③-1 수생 급성독성】
어류 LC50(96h)
&gt;1000=1점, 100~1000=2점, 10~100=3점, 1~10=4점, ≤1=5점</t>
    <phoneticPr fontId="1" type="noConversion"/>
  </si>
  <si>
    <t>수생 물벼룩/갑각류 EC50 (48h)</t>
    <phoneticPr fontId="1" type="noConversion"/>
  </si>
  <si>
    <t>Sec12에서 '물벼룩 또는 갑각류 EC50(48h)' 확인
없으면 '없음'</t>
    <phoneticPr fontId="1" type="noConversion"/>
  </si>
  <si>
    <t>Sec12에서 '갑각류 EC50(48h)' 확인
없으면 '없음'</t>
    <phoneticPr fontId="1" type="noConversion"/>
  </si>
  <si>
    <t>【③-1 수생 급성독성】
물벼룩 or 갑각류 EC50(48h)
&gt;1000=1점, 100~1000=2점, 10~100=3점, 1~10=4점, ≤1=5점</t>
    <phoneticPr fontId="1" type="noConversion"/>
  </si>
  <si>
    <t>생물농축계수 BCF</t>
  </si>
  <si>
    <t>Sec12에서 'BCF' 수치 확인
없으면 '없음'
예) 황산: 이온화→없음  벤젠: 119</t>
    <phoneticPr fontId="1" type="noConversion"/>
  </si>
  <si>
    <t>【③-6 생물농축성】
BCF 높을수록 농축↑ (logKow와 MIN 취합)
&lt;100=1점, 100~500=2점, 500~2000=3점, 2000~5000=4점, &gt;5000=5점</t>
    <phoneticPr fontId="1" type="noConversion"/>
  </si>
  <si>
    <t>토양 반감기 DT50 (수계)</t>
  </si>
  <si>
    <t>Sec12에서 'DT50(수계)' 확인
없으면 '없음'. 무기물→없음
예) 아세톤: 10일  벤젠: 15일  황산: 없음</t>
    <phoneticPr fontId="1" type="noConversion"/>
  </si>
  <si>
    <t>일</t>
  </si>
  <si>
    <t>【③-3 수계 분해성】 &amp; 【③-5 토양 잔류성】
DT50 낮을수록 빨리 분해
&lt;10일=1점, 10~28=2점, 28~60=3점, 60~180=4점, &gt;180=5점</t>
    <phoneticPr fontId="1" type="noConversion"/>
  </si>
  <si>
    <t>생분해도 (OECD 28일 기준)</t>
  </si>
  <si>
    <t>Sec12에서 '생분해성' % 확인
없으면 '없음'. 무기물→없음
예) 아세톤: &gt;90%  황산: 없음(무기물)</t>
  </si>
  <si>
    <t>%</t>
  </si>
  <si>
    <t>Sec12에서 '생분해성' % 확인
없으면 '없음'. 무기물→없음
예) 아세톤: &gt;90%  황산: 없음(무기물)</t>
    <phoneticPr fontId="1" type="noConversion"/>
  </si>
  <si>
    <t>【③-3 수계 분해성】
생분해도 높을수록 환경 위험↓
&gt;60%=1점, 40~60%=2점, 20~40%=3점, 5~20%=4점, &lt;5%=5점
무기물(황산 등)은 자료없음=1점 처리</t>
    <phoneticPr fontId="1" type="noConversion"/>
  </si>
  <si>
    <t>토양 이동성 (Koc)</t>
    <phoneticPr fontId="1" type="noConversion"/>
  </si>
  <si>
    <t>Sec12에서 'Koc' 수치 확인
없으면 '없음'</t>
    <phoneticPr fontId="1" type="noConversion"/>
  </si>
  <si>
    <t>-</t>
    <phoneticPr fontId="1" type="noConversion"/>
  </si>
  <si>
    <t>【③-4 토양 이동성】
Koc 낮을수록 이동성↑(지하수로 유출 확산)
≥5000=1점, 1000~5000=2점, 200~1000=3점, 50~200=4점, ＜50=5점</t>
    <phoneticPr fontId="1" type="noConversion"/>
  </si>
  <si>
    <t>PBT/vPvB 해당 여부</t>
  </si>
  <si>
    <t>Sec12에서 PBT/vPvB 표기 확인
• vPvB 해당: 극도 잔류성+농축성
• PBT 해당: 잔류성+농축성+독성 3가지
예) 황산: 비해당</t>
    <phoneticPr fontId="1" type="noConversion"/>
  </si>
  <si>
    <t>Sec12에서 PBT/vPvB 표기 확인
• PBT 해당: 잔류성+농축성+독성
• vPvB 해당: 극도 잔류성+농축성
예) 황산: 비해당</t>
    <phoneticPr fontId="1" type="noConversion"/>
  </si>
  <si>
    <t>【③-7 PBT/vPvB 복합 특성】
PBT=잔류성+농축성+독성 →4점
vPvB=극잔류성+극농축성→5점</t>
    <phoneticPr fontId="1" type="noConversion"/>
  </si>
  <si>
    <t>물리화학적 위험성</t>
    <phoneticPr fontId="1" type="noConversion"/>
  </si>
  <si>
    <t>Physical &amp; Chemical Hazard  |  반응성·부산물·불안정성·화재·폭발</t>
    <phoneticPr fontId="1" type="noConversion"/>
  </si>
  <si>
    <t>Ⅰ. 유해성 산정</t>
    <phoneticPr fontId="1" type="noConversion"/>
  </si>
  <si>
    <r>
      <t xml:space="preserve">  1) 8개의 유해성 평가항목별 </t>
    </r>
    <r>
      <rPr>
        <u/>
        <sz val="10"/>
        <color theme="1" tint="0.249977111117893"/>
        <rFont val="맑은 고딕"/>
        <family val="3"/>
        <charset val="129"/>
        <scheme val="major"/>
      </rPr>
      <t>유해성 점수(F열, 노란색 셀)를 입력</t>
    </r>
    <r>
      <rPr>
        <sz val="10"/>
        <color theme="1" tint="0.249977111117893"/>
        <rFont val="맑은 고딕"/>
        <family val="3"/>
        <charset val="129"/>
        <scheme val="major"/>
      </rPr>
      <t xml:space="preserve">하세요.
     - '[참고값] 유해성'(E열)은 '①기초Data'Sheet와 연동되어 유해성(1~5점)을 제시합니다. 해당 값을 참고하여 진행하시고, 만일 </t>
    </r>
    <r>
      <rPr>
        <u/>
        <sz val="10"/>
        <color theme="1" tint="0.249977111117893"/>
        <rFont val="맑은 고딕"/>
        <family val="3"/>
        <charset val="129"/>
        <scheme val="major"/>
      </rPr>
      <t>[참고값]과 다르게 유해성을 입력하는 경우, '비고'(M열)에 다르게 평가한 사유 기재 要</t>
    </r>
    <r>
      <rPr>
        <sz val="10"/>
        <color theme="1" tint="0.249977111117893"/>
        <rFont val="맑은 고딕"/>
        <family val="3"/>
        <charset val="129"/>
        <scheme val="major"/>
      </rPr>
      <t xml:space="preserve">
  2) 8개의 유해성 평가항목을 모두 입력한 후, 산정된 유해성 등급(20행, 1~5등급)을 확인하세요.</t>
    </r>
    <phoneticPr fontId="1" type="noConversion"/>
  </si>
  <si>
    <t>No.</t>
    <phoneticPr fontId="1" type="noConversion"/>
  </si>
  <si>
    <t>평가 항목</t>
    <phoneticPr fontId="1" type="noConversion"/>
  </si>
  <si>
    <r>
      <t>[참고값] 유해성</t>
    </r>
    <r>
      <rPr>
        <sz val="10"/>
        <rFont val="맑은 고딕"/>
        <family val="3"/>
        <charset val="129"/>
        <scheme val="major"/>
      </rPr>
      <t xml:space="preserve">
</t>
    </r>
    <r>
      <rPr>
        <sz val="9"/>
        <rFont val="맑은 고딕"/>
        <family val="3"/>
        <charset val="129"/>
        <scheme val="major"/>
      </rPr>
      <t>(①기초Data 연동)</t>
    </r>
    <phoneticPr fontId="1" type="noConversion"/>
  </si>
  <si>
    <r>
      <rPr>
        <b/>
        <u/>
        <sz val="10"/>
        <color rgb="FFFFFFFF"/>
        <rFont val="맑은 고딕"/>
        <family val="3"/>
        <charset val="129"/>
        <scheme val="major"/>
      </rPr>
      <t>▶유해성 입력</t>
    </r>
    <r>
      <rPr>
        <b/>
        <sz val="10"/>
        <color rgb="FFFFFFFF"/>
        <rFont val="맑은 고딕"/>
        <family val="3"/>
        <charset val="129"/>
        <scheme val="major"/>
      </rPr>
      <t xml:space="preserve">
(1~5)</t>
    </r>
    <phoneticPr fontId="1" type="noConversion"/>
  </si>
  <si>
    <t>평가 기준</t>
    <phoneticPr fontId="1" type="noConversion"/>
  </si>
  <si>
    <t>비고</t>
    <phoneticPr fontId="1" type="noConversion"/>
  </si>
  <si>
    <t>MSDS
확인 항목</t>
    <phoneticPr fontId="1" type="noConversion"/>
  </si>
  <si>
    <r>
      <t xml:space="preserve">1점
</t>
    </r>
    <r>
      <rPr>
        <sz val="10"/>
        <rFont val="맑은 고딕"/>
        <family val="3"/>
        <charset val="129"/>
        <scheme val="major"/>
      </rPr>
      <t>(미미)</t>
    </r>
    <phoneticPr fontId="1" type="noConversion"/>
  </si>
  <si>
    <r>
      <t xml:space="preserve">2점 
</t>
    </r>
    <r>
      <rPr>
        <sz val="10"/>
        <rFont val="맑은 고딕"/>
        <family val="3"/>
        <charset val="129"/>
        <scheme val="major"/>
      </rPr>
      <t>(경미)</t>
    </r>
    <phoneticPr fontId="1" type="noConversion"/>
  </si>
  <si>
    <r>
      <t xml:space="preserve">3점
</t>
    </r>
    <r>
      <rPr>
        <sz val="10"/>
        <rFont val="맑은 고딕"/>
        <family val="3"/>
        <charset val="129"/>
        <scheme val="major"/>
      </rPr>
      <t>(보통)</t>
    </r>
    <phoneticPr fontId="1" type="noConversion"/>
  </si>
  <si>
    <r>
      <t xml:space="preserve">4점
</t>
    </r>
    <r>
      <rPr>
        <sz val="10"/>
        <rFont val="맑은 고딕"/>
        <family val="3"/>
        <charset val="129"/>
        <scheme val="major"/>
      </rPr>
      <t>(중대)</t>
    </r>
    <phoneticPr fontId="1" type="noConversion"/>
  </si>
  <si>
    <r>
      <t xml:space="preserve">5점
</t>
    </r>
    <r>
      <rPr>
        <sz val="10"/>
        <rFont val="맑은 고딕"/>
        <family val="3"/>
        <charset val="129"/>
        <scheme val="major"/>
      </rPr>
      <t>(치명)</t>
    </r>
    <phoneticPr fontId="1" type="noConversion"/>
  </si>
  <si>
    <t>[참고] 유해성 기준 출처 및 배경</t>
    <phoneticPr fontId="1" type="noConversion"/>
  </si>
  <si>
    <t>반응성</t>
  </si>
  <si>
    <t>물·산·염기와의 접촉 반응성 (발열, 가스 발생 등)</t>
    <phoneticPr fontId="1" type="noConversion"/>
  </si>
  <si>
    <t>1. Sec2 H260,H261,H290
2. Sec10 물반응</t>
    <phoneticPr fontId="1" type="noConversion"/>
  </si>
  <si>
    <t>반응 없음
H260/261/290 없음
물·산·염기 비반응</t>
    <phoneticPr fontId="1" type="noConversion"/>
  </si>
  <si>
    <t>미약한 발열
ΔT&lt;10°C</t>
    <phoneticPr fontId="1" type="noConversion"/>
  </si>
  <si>
    <t>중등도 반응
ΔT10~50°C</t>
    <phoneticPr fontId="1" type="noConversion"/>
  </si>
  <si>
    <t>격렬한 반응
ΔT&gt;50°C 또는
H290 (금속부식성 물질)</t>
    <phoneticPr fontId="1" type="noConversion"/>
  </si>
  <si>
    <t>폭발적 반응
H260, H261
(자연발화성/인화성 가스 발생)</t>
    <phoneticPr fontId="1" type="noConversion"/>
  </si>
  <si>
    <t>근거: GHS 수반응성 분류 + 화학물질관리법
▸ 주요 출처
  ① 환경부 고시 제2023-2호
     「화학물질의 분류·표시에 관한 규정」
     H260(자연발화성 가스), H261(인화성가스),
     H290(금속부식성) 코드 정의
  ② UN GHS(Globally Harmonized System)
     제9개정판(2021) Part 3 수반응성 물질
     분류 기준 (Cat.1/2 및 반응 발열량)
  ③ 소방청 「위험물안전관리법 시행령」
     별표1 금수성 물질 분류 기준
▸ 점수 구간 설정 배경
  반응 시 온도 변화(ΔT)는 KOSHA GUIDE
  W-23-2020 「화학물질 반응 위험성 평가」
  중증도 구간(ΔT 10·50°C)을 준용함</t>
    <phoneticPr fontId="1" type="noConversion"/>
  </si>
  <si>
    <t>공기·수분 반응·자연발화 (흡습 발열, 자기발화)</t>
    <phoneticPr fontId="1" type="noConversion"/>
  </si>
  <si>
    <t>1. Sec2 H250~H252
2. Sec9 자연발화온도(AIT)</t>
    <phoneticPr fontId="1" type="noConversion"/>
  </si>
  <si>
    <t xml:space="preserve">경미한 주의
흡습발열 가능성
</t>
    <phoneticPr fontId="1" type="noConversion"/>
  </si>
  <si>
    <t>흡습발열
H252 또는
AIT 100~200°C</t>
    <phoneticPr fontId="1" type="noConversion"/>
  </si>
  <si>
    <t>자기발열
H251 해당
AIT 54~100°C</t>
    <phoneticPr fontId="1" type="noConversion"/>
  </si>
  <si>
    <t>자연발화
H250 해당
AIT&lt;54°C</t>
    <phoneticPr fontId="1" type="noConversion"/>
  </si>
  <si>
    <t>근거: GHS 자연발화성·자기발열성 분류
▸ 주요 출처
  ① 환경부 고시 제2023-2호
     「화학물질의 분류·표시에 관한 규정」
     H250(자연발화성), H251(자기발열 대량),
     H252(자기발열) 코드 정의
  ② UN GHS 제9개정판 Part 3.5
     자연발화성 액체·고체 분류 기준
     (AIT 기준 및 UN 2.1호 시험)
  ③ 소방청 「위험물안전관리법 시행령」
     별표1 자연발화성 물질 정의
▸ 점수 구간 설정 배경
  AIT 구간(100·200·300·400°C)은 GHS
  자연발화 시험 온도 기준 및 소방청
  위험물 분류 온도 기준을 준용함</t>
    <phoneticPr fontId="1" type="noConversion"/>
  </si>
  <si>
    <t>혼합 위험 반응성 (금기물질·혼합금지 성분)</t>
  </si>
  <si>
    <t>1. Sec10 금기물질 종류수</t>
    <phoneticPr fontId="1" type="noConversion"/>
  </si>
  <si>
    <t>금기물질 없음
자유 혼합 가능</t>
  </si>
  <si>
    <t>1~2종 금기
일반 주의 수준</t>
  </si>
  <si>
    <t>3~4종 금기
특정 물질 혼합시
발열 가능</t>
  </si>
  <si>
    <t>5종 이상 금기
독성가스 또는
격렬 발열 반응</t>
  </si>
  <si>
    <t>즉각 폭발·화재
혼합 즉시 폭발
독성가스 다량</t>
  </si>
  <si>
    <t>근거: KOSHA 화학물질 보관·혼합 위험성
▸ 주요 출처
  ① KOSHA GUIDE W-5-2021
     「화학물질 안전보관 및 진열에
     관한 기술 지침」
     금기물질 분류 및 격리 기준
  ② KOSHA GUIDE W-23-2020
     「화학물질 반응 위험성 평가 지침」
     혼합 반응 위험성 평가 방법론
  ③ 화학물질관리법 제14조(환경부)
     혼합·혼재 금지 물질 관리 기준
▸ 점수 구간 설정 배경
  금기물질 유형 수(1·2·3·5종)는
  SDS Sec10의 실제 기재 패턴과
  KOSHA 사례 조사를 기반으로 설정</t>
    <phoneticPr fontId="1" type="noConversion"/>
  </si>
  <si>
    <t>부산물</t>
  </si>
  <si>
    <t>독성 부산물·분해·연소 생성물</t>
  </si>
  <si>
    <t>1. Sec10 분해생성물
2. Sec5 연소생성물</t>
    <phoneticPr fontId="1" type="noConversion"/>
  </si>
  <si>
    <t>부산물 없음
CO₂·H₂O만 생성</t>
  </si>
  <si>
    <t>저독성 부산물
TLV이하
환기로 관리</t>
    <phoneticPr fontId="1" type="noConversion"/>
  </si>
  <si>
    <t>중등독성
GHS Cat3~4
CO·황산화물 등</t>
  </si>
  <si>
    <t>고독성 부산물
GHS Cat1~2
HCl·포름알데히드</t>
    <phoneticPr fontId="1" type="noConversion"/>
  </si>
  <si>
    <t>CMR급 부산물
다이옥신·HCN
IARC Group1 수준</t>
    <phoneticPr fontId="1" type="noConversion"/>
  </si>
  <si>
    <t>근거: GHS 급성독성 분류 + KOSHA 부산물 평가
▸ 주요 출처
  ① 고용노동부 고시 제2023-9호
     「화학물질의 분류·표시 및
     물질안전보건자료에 관한 기준」
     GHS 급성독성 Cat.1~5 정의
  ② KOSHA GUIDE H-63-2022
     「화학물질의 유해성 평가 지침」
     분해·연소 생성물 독성 평가 방법
  ③ 환경부·고용노동부 공동 고시
     GHS 유해화학물질 분류 기준
     (Cat.1~5: 치명→유해 구분)
▸ 점수 구간 설정 배경
  생성물의 GHS 독성 분류 등급
  (Cat.1~2 고독성, Cat.3~4 중등독성)
  을 직접 적용함</t>
    <phoneticPr fontId="1" type="noConversion"/>
  </si>
  <si>
    <t>불안정성</t>
  </si>
  <si>
    <t>폭발·급분해 불안정성 (열·충격·마찰·정전기)</t>
    <phoneticPr fontId="1" type="noConversion"/>
  </si>
  <si>
    <t xml:space="preserve">1. Sec2 H200~H252
2. Sec9 분해온도 </t>
    <phoneticPr fontId="1" type="noConversion"/>
  </si>
  <si>
    <t xml:space="preserve">안정한 물질
</t>
    <phoneticPr fontId="1" type="noConversion"/>
  </si>
  <si>
    <t>경미한 불안정
H208, H242 또는
분해온도&lt;300°C</t>
    <phoneticPr fontId="1" type="noConversion"/>
  </si>
  <si>
    <t>중등 불안정
H207, H241 또는
분해온도&lt;150°C</t>
    <phoneticPr fontId="1" type="noConversion"/>
  </si>
  <si>
    <t>불안정
H206, H240 또는
분해온도&lt;100°C</t>
    <phoneticPr fontId="1" type="noConversion"/>
  </si>
  <si>
    <t>극도 폭발성
H200~H205
UN 1류 위험물</t>
  </si>
  <si>
    <t>근거: GHS 폭발성 분류 + UN TDG + 소방청
▸ 주요 출처
  ① UN 위험물 운송권고(TDG, 22판)
     Class 1 폭발성 물질 분류
     (1.1~1.6등급, 폭발 에너지 기준)
  ② 환경부 고시 제2023-2호
     H200~H205(폭발성),
     H240~H242(자기반응성/유기과산화물)
     분류 기준
  ③ 소방청 「위험물안전관리법」
     제5류 자기반응성 물질 분류
     열분해 온도 기준 적용
▸ 점수 구간 설정 배경
  H코드(H240~H242)의 유기과산화물
  A~F형 분류를 3·4·5점으로 매핑하고,
  분해온도(100·150·300°C)를 보조 기준
  으로 사용</t>
    <phoneticPr fontId="1" type="noConversion"/>
  </si>
  <si>
    <t>저장 불안정성 (과산화물·자발중합·변질)</t>
  </si>
  <si>
    <t>기초Data 연동 참고값 미제공 항목
(유해성 직접 입력)</t>
    <phoneticPr fontId="1" type="noConversion"/>
  </si>
  <si>
    <t>1. Sec7 저장조건
2. Sec10 안정성</t>
    <phoneticPr fontId="1" type="noConversion"/>
  </si>
  <si>
    <t>저장 안정
특별조건 불필요</t>
  </si>
  <si>
    <t>경미한 주의
차광·서늘한 곳</t>
    <phoneticPr fontId="1" type="noConversion"/>
  </si>
  <si>
    <t>특별 저장
냉장 또는 불활성
기체 봉입 권장</t>
    <phoneticPr fontId="1" type="noConversion"/>
  </si>
  <si>
    <t>엄격 저장
냉장+불활성기체
봉입+억제제</t>
  </si>
  <si>
    <t>초엄격 저장
극저온·특수용기
실온 자발반응</t>
  </si>
  <si>
    <t>근거: 위험물안전관리법 + 화학물질관리법
▸ 주요 출처
  ① 소방청 「위험물안전관리법」
     저장·취급 기준 (시행규칙 별표4~6)
     특수인화물·1석유류 저장 기준
  ② 화학물질관리법 제15조(환경부)
     유해화학물질 보관·저장 시설 기준
  ③ KOSHA GUIDE W-7-2020
     「화학물질 저장소 안전관리 지침」
     냉장·불활성기체 봉입 필요 기준
▸ 점수 구간 설정 배경
  저장 조건의 엄격도(상온→냉장→
  불활성기체→특수용기)를 SDS Sec7
  기재 수준과 법적 요구 기준으로 구분</t>
    <phoneticPr fontId="1" type="noConversion"/>
  </si>
  <si>
    <t>화재</t>
  </si>
  <si>
    <t>1. Sec2 H220~H228
2. Sec9 인화점/끓는점</t>
    <phoneticPr fontId="1" type="noConversion"/>
  </si>
  <si>
    <t>비인화성
인화점 없음
또는 ≥93°C</t>
    <phoneticPr fontId="1" type="noConversion"/>
  </si>
  <si>
    <t>가연성 액체
H227
인화점 60~93°C
예)경유</t>
    <phoneticPr fontId="1" type="noConversion"/>
  </si>
  <si>
    <t>인화성
H226
인화점 23~60°C
예)크실렌(27°C)</t>
    <phoneticPr fontId="1" type="noConversion"/>
  </si>
  <si>
    <t>고인화성
H221,H223,H225,H228
인화점&lt;23°C
끓는점&gt;35°C</t>
    <phoneticPr fontId="1" type="noConversion"/>
  </si>
  <si>
    <t>극인화성
H220,H222,H224
인화점&lt;23°C
끓는점≤35°C</t>
    <phoneticPr fontId="1" type="noConversion"/>
  </si>
  <si>
    <t>근거: 소방청 위험물안전관리법 + GHS 인화점 분류
▸ 주요 출처
  ① 소방청 「위험물안전관리법 시행령」
     별표1 인화성 액체 분류
     특수인화물(발화점≤100°C 또는
     인화점&lt;-20°C)
     제1석유류(인화점&lt;21°C)
     제2석유류(21~70°C)
     제3석유류(70~200°C)
  ② 환경부 고시 제2023-2호
     GHS 인화성 액체 Cat.1~4 기준
     H224(Cat.1): FP&lt;23°C+BP≤35°C
     H225(Cat.2): FP&lt;23°C
     H226(Cat.3): 23°C≤FP&lt;60°C
     H227(Cat.4): 60°C≤FP≤93°C
▸ 점수 구간 설정 배경
  GHS Cat.1~4를 1~5점에 매핑하되,
  소방청 위험물 분류와 연계하여
  23·60·93°C를 경계 기준으로 설정</t>
    <phoneticPr fontId="1" type="noConversion"/>
  </si>
  <si>
    <t>폭발</t>
  </si>
  <si>
    <t>폭발성·산화성</t>
    <phoneticPr fontId="1" type="noConversion"/>
  </si>
  <si>
    <t>1. Sec2 H200~H205, H270~H272</t>
    <phoneticPr fontId="1" type="noConversion"/>
  </si>
  <si>
    <t>해당 없음
H200~H272 없음</t>
  </si>
  <si>
    <t>약한 산화성
H272 Cat3</t>
  </si>
  <si>
    <t>중등 산화성
H272 Cat2</t>
  </si>
  <si>
    <t>강산화성
H271 Cat1 또는
폭발성 1.3~1.4류</t>
  </si>
  <si>
    <t>극강 폭발성
H200~H202
H270</t>
    <phoneticPr fontId="1" type="noConversion"/>
  </si>
  <si>
    <t>근거: GHS 폭발성·산화성 분류 + UN TDG
▸ 주요 출처
  ① 환경부 고시 제2023-2호
     GHS 폭발성(H200~H205)
     GHS 산화성 액체·고체(H270~H272)
     분류 기준 및 시험 방법
  ② UN 위험물 운송권고(TDG, 22판)
     Class 1(폭발성), Class 5.1(산화성)
     국제 운송 분류 기준
  ③ 소방청 「위험물안전관리법」
     제1류(산화성 고체), 제5류(자기반응성)
     국내 위험물 분류 기준
▸ 점수 구간 설정 배경
  GHS 산화성 Cat.1→5점, Cat.2→4점,
  Cat.3→3점으로 직접 매핑하고,
  폭발성 등급(1.1~1.2류)은 최고점 부여</t>
    <phoneticPr fontId="1" type="noConversion"/>
  </si>
  <si>
    <t xml:space="preserve">  ① 유해성 합계</t>
    <phoneticPr fontId="1" type="noConversion"/>
  </si>
  <si>
    <t>유해성 점수 합산, 8개 항목 × 최대5점 = 최대 40점</t>
    <phoneticPr fontId="1" type="noConversion"/>
  </si>
  <si>
    <r>
      <rPr>
        <b/>
        <sz val="11"/>
        <rFont val="맑은 고딕"/>
        <family val="3"/>
        <charset val="129"/>
        <scheme val="major"/>
      </rPr>
      <t xml:space="preserve">  ② 고위험항목 가중치</t>
    </r>
    <r>
      <rPr>
        <sz val="11"/>
        <rFont val="맑은 고딕"/>
        <family val="3"/>
        <charset val="129"/>
        <scheme val="major"/>
      </rPr>
      <t xml:space="preserve">  </t>
    </r>
    <r>
      <rPr>
        <sz val="10"/>
        <rFont val="맑은 고딕"/>
        <family val="3"/>
        <charset val="129"/>
        <scheme val="major"/>
      </rPr>
      <t>(유해성 최고값 5점 : +2 / 4점 : +1점)</t>
    </r>
    <phoneticPr fontId="1" type="noConversion"/>
  </si>
  <si>
    <t xml:space="preserve">고위험 항목이 다른 항목의 낮은 점수로 인해 합산 시 희석되지 않도록 가중치(1~2점)로 보정 </t>
    <phoneticPr fontId="1" type="noConversion"/>
  </si>
  <si>
    <r>
      <t xml:space="preserve">  ③ 유해성 최종 점수  </t>
    </r>
    <r>
      <rPr>
        <sz val="10"/>
        <rFont val="맑은 고딕"/>
        <family val="3"/>
        <charset val="129"/>
        <scheme val="major"/>
      </rPr>
      <t>(①+②, 최대 40점)</t>
    </r>
    <phoneticPr fontId="1" type="noConversion"/>
  </si>
  <si>
    <t>최종 유해성 점수 = 유해성합계 + 고위험항목 가중  (최대 40점)</t>
    <phoneticPr fontId="1" type="noConversion"/>
  </si>
  <si>
    <r>
      <t xml:space="preserve">  ④ 유해성 등급 </t>
    </r>
    <r>
      <rPr>
        <sz val="10"/>
        <color theme="0"/>
        <rFont val="맑은 고딕"/>
        <family val="3"/>
        <charset val="129"/>
        <scheme val="major"/>
      </rPr>
      <t>(1~5등급)</t>
    </r>
    <phoneticPr fontId="1" type="noConversion"/>
  </si>
  <si>
    <t>8점→1등급, 9~16점→2등급, 17~24점→3등급, 25~33점→4등급, 34점 이상→5등급</t>
    <phoneticPr fontId="1" type="noConversion"/>
  </si>
  <si>
    <t>Ⅱ. 가능성 산정</t>
    <phoneticPr fontId="1" type="noConversion"/>
  </si>
  <si>
    <r>
      <t xml:space="preserve">  1) ①~③ 가능성 평가항목별 </t>
    </r>
    <r>
      <rPr>
        <u/>
        <sz val="10"/>
        <color theme="1" tint="0.249977111117893"/>
        <rFont val="맑은 고딕"/>
        <family val="3"/>
        <charset val="129"/>
        <scheme val="major"/>
      </rPr>
      <t>해당사항(D열, 노란색 셀)을 입력</t>
    </r>
    <r>
      <rPr>
        <sz val="10"/>
        <color theme="1" tint="0.249977111117893"/>
        <rFont val="맑은 고딕"/>
        <family val="3"/>
        <charset val="129"/>
        <scheme val="major"/>
      </rPr>
      <t>하세요. (드롭박스 선택)
  2) 가능성 평가항목을 모두 입력한 후, 산정된 가능성 등급(28행, 1~5등급)을 확인하세요.</t>
    </r>
    <phoneticPr fontId="1" type="noConversion"/>
  </si>
  <si>
    <t xml:space="preserve">  ① 취급 횟수</t>
    <phoneticPr fontId="1" type="noConversion"/>
  </si>
  <si>
    <t>1점: 연 1~2회  |  2점: 연 3~11회  |  3점: 월 1회 이상  |  4점: 주 1회 이상  |  5점: 일 1회 이상 (상시 취급)</t>
    <phoneticPr fontId="1" type="noConversion"/>
  </si>
  <si>
    <t xml:space="preserve">  ② 1회 취급량</t>
    <phoneticPr fontId="1" type="noConversion"/>
  </si>
  <si>
    <t>1점: &lt; 1 kg(L) |  2점: 1 ~ 10 kg(L)  |  3점: 10 ~ 100 kg(L)  |  4점: 100 ~ 1,000 kg(L)  |  5점: &gt; 1,000 kg(L) 또는 대량 상시 취급</t>
    <phoneticPr fontId="1" type="noConversion"/>
  </si>
  <si>
    <t xml:space="preserve">  ③ 취급 공정 환경</t>
    <phoneticPr fontId="1" type="noConversion"/>
  </si>
  <si>
    <t>1점: 완전 밀폐·자동화 또는 옥외 개방  |  2점: 부분 밀폐 + 환기 양호  |  3점: 일반 옥내 작업 (기본 환기)  |  4점: 밀폐 공간 또는 환기 부족  |  5점: 고온·고압·복합 위험 환경</t>
    <phoneticPr fontId="1" type="noConversion"/>
  </si>
  <si>
    <r>
      <t xml:space="preserve">  ④ 가능성 점수 </t>
    </r>
    <r>
      <rPr>
        <sz val="10"/>
        <rFont val="맑은 고딕"/>
        <family val="3"/>
        <charset val="129"/>
        <scheme val="major"/>
      </rPr>
      <t xml:space="preserve"> (①+②+③, 최대 15점)</t>
    </r>
    <phoneticPr fontId="1" type="noConversion"/>
  </si>
  <si>
    <t>기본 가능성 점수 = ①+②+③ (최대 15점)</t>
    <phoneticPr fontId="1" type="noConversion"/>
  </si>
  <si>
    <r>
      <t xml:space="preserve">  ⑤ 가능성 등급  </t>
    </r>
    <r>
      <rPr>
        <sz val="10"/>
        <color theme="0"/>
        <rFont val="맑은 고딕"/>
        <family val="3"/>
        <charset val="129"/>
        <scheme val="major"/>
      </rPr>
      <t>(1~5등급, 저감대책 적용 전)</t>
    </r>
    <phoneticPr fontId="1" type="noConversion"/>
  </si>
  <si>
    <t>3점→1등급, 4~6→2등급, 7~9→3등급, 10~12→4등급, 13점 이상→5등급</t>
    <phoneticPr fontId="1" type="noConversion"/>
  </si>
  <si>
    <t>Ⅲ. 위험성 결정</t>
    <phoneticPr fontId="1" type="noConversion"/>
  </si>
  <si>
    <t xml:space="preserve">  1) 위에서 산정된 유해성/가능성에 따라 결정된 위험도를 확인하세요.</t>
    <phoneticPr fontId="1" type="noConversion"/>
  </si>
  <si>
    <t xml:space="preserve">  위험도  (유해성등급 × 가능성등급)</t>
    <phoneticPr fontId="1" type="noConversion"/>
  </si>
  <si>
    <t>최대 25점 (5×5)  |  저위험 1~3  |  중위험 4~8 |  고위험 9~16  |  허용불가 17~25</t>
    <phoneticPr fontId="1" type="noConversion"/>
  </si>
  <si>
    <t xml:space="preserve">  위험 수준 / 허용 여부</t>
    <phoneticPr fontId="1" type="noConversion"/>
  </si>
  <si>
    <t>Ⅳ. 위험성 저감대책 수립</t>
    <phoneticPr fontId="1" type="noConversion"/>
  </si>
  <si>
    <r>
      <t xml:space="preserve">  1)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Ⅲ. 위험성이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허용 불가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 수준인 경우, 저감대책을 수립하여 위험도를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8 이하</t>
    </r>
    <r>
      <rPr>
        <u/>
        <sz val="10"/>
        <color theme="1" tint="0.249977111117893"/>
        <rFont val="맑은 고딕"/>
        <family val="3"/>
        <charset val="129"/>
        <scheme val="major"/>
      </rPr>
      <t>로 낮추어야 도입이 가능하며, 도입/취급 前 수립한 저감대책을 이행하세요.</t>
    </r>
    <r>
      <rPr>
        <sz val="10"/>
        <color theme="1" tint="0.249977111117893"/>
        <rFont val="맑은 고딕"/>
        <family val="3"/>
        <charset val="129"/>
        <scheme val="major"/>
      </rPr>
      <t xml:space="preserve">
      - 저감대책은 공학적→운영적→행정적→보호구 순의 위계로 구분되며, 각 저감대책 적용 시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가능성 등급을 낮춰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 위험도를 저감합니다</t>
    </r>
    <r>
      <rPr>
        <sz val="10"/>
        <color theme="1" tint="0.249977111117893"/>
        <rFont val="맑은 고딕"/>
        <family val="3"/>
        <charset val="129"/>
        <scheme val="major"/>
      </rPr>
      <t xml:space="preserve">. </t>
    </r>
    <r>
      <rPr>
        <i/>
        <sz val="10"/>
        <color theme="1" tint="0.249977111117893"/>
        <rFont val="맑은 고딕"/>
        <family val="3"/>
        <charset val="129"/>
        <scheme val="major"/>
      </rPr>
      <t>(유해성은 물질 고유 특성이므로 저감 대상에서 제외)</t>
    </r>
    <r>
      <rPr>
        <sz val="10"/>
        <color theme="1" tint="0.249977111117893"/>
        <rFont val="맑은 고딕"/>
        <family val="3"/>
        <charset val="129"/>
        <scheme val="major"/>
      </rPr>
      <t xml:space="preserve">
      - 저감대책은 </t>
    </r>
    <r>
      <rPr>
        <b/>
        <sz val="10"/>
        <color theme="1" tint="0.249977111117893"/>
        <rFont val="맑은 고딕"/>
        <family val="3"/>
        <charset val="129"/>
        <scheme val="major"/>
      </rPr>
      <t>'⑥ 저감대책DB' Sheet</t>
    </r>
    <r>
      <rPr>
        <sz val="10"/>
        <color theme="1" tint="0.249977111117893"/>
        <rFont val="맑은 고딕"/>
        <family val="3"/>
        <charset val="129"/>
        <scheme val="major"/>
      </rPr>
      <t xml:space="preserve">에서 선택한 후, 적용할 </t>
    </r>
    <r>
      <rPr>
        <b/>
        <sz val="10"/>
        <color theme="1" tint="0.249977111117893"/>
        <rFont val="맑은 고딕"/>
        <family val="3"/>
        <charset val="129"/>
        <scheme val="major"/>
      </rPr>
      <t>**DB No.**</t>
    </r>
    <r>
      <rPr>
        <sz val="10"/>
        <color theme="1" tint="0.249977111117893"/>
        <rFont val="맑은 고딕"/>
        <family val="3"/>
        <charset val="129"/>
        <scheme val="major"/>
      </rPr>
      <t xml:space="preserve">를 입력합니다. (저감대책 DB List는 필요시 사업장에서 '⑥ 저감대책DB' Sheet에 추가하여 운영 가능합니다)
  2)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Ⅲ. 위험성이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허용 가능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 수준인 경우에도, 적용할 저감대책이 있는 경우 이를 입력하여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최종 위험도</t>
    </r>
    <r>
      <rPr>
        <u/>
        <sz val="10"/>
        <color theme="1" tint="0.249977111117893"/>
        <rFont val="맑은 고딕"/>
        <family val="3"/>
        <charset val="129"/>
        <scheme val="major"/>
      </rPr>
      <t>를 확인하세요.</t>
    </r>
    <phoneticPr fontId="1" type="noConversion"/>
  </si>
  <si>
    <t xml:space="preserve"> 1. [참고] 고위험 항목 추천 저감대책 </t>
    <phoneticPr fontId="1" type="noConversion"/>
  </si>
  <si>
    <r>
      <t xml:space="preserve">    1) </t>
    </r>
    <r>
      <rPr>
        <b/>
        <sz val="10"/>
        <color theme="1" tint="0.249977111117893"/>
        <rFont val="맑은 고딕"/>
        <family val="3"/>
        <charset val="129"/>
        <scheme val="major"/>
      </rPr>
      <t>고위험 항목(유해성/가능성 4,5점)에 적용 가능한 저감대책 추천</t>
    </r>
    <r>
      <rPr>
        <sz val="10"/>
        <color theme="1" tint="0.249977111117893"/>
        <rFont val="맑은 고딕"/>
        <family val="3"/>
        <charset val="129"/>
        <scheme val="major"/>
      </rPr>
      <t xml:space="preserve">
        - 유해성 및 가능성 평가 결과가 4~5점인 항목에 대해, </t>
    </r>
    <r>
      <rPr>
        <b/>
        <sz val="10"/>
        <color theme="1" tint="0.249977111117893"/>
        <rFont val="맑은 고딕"/>
        <family val="3"/>
        <charset val="129"/>
        <scheme val="major"/>
      </rPr>
      <t>해당 항목에 **특화된 저감대책**</t>
    </r>
    <r>
      <rPr>
        <sz val="10"/>
        <color theme="1" tint="0.249977111117893"/>
        <rFont val="맑은 고딕"/>
        <family val="3"/>
        <charset val="129"/>
        <scheme val="major"/>
      </rPr>
      <t xml:space="preserve">을 제시합니다.
        - 본 추천은 </t>
    </r>
    <r>
      <rPr>
        <b/>
        <sz val="10"/>
        <color theme="1" tint="0.249977111117893"/>
        <rFont val="맑은 고딕"/>
        <family val="3"/>
        <charset val="129"/>
        <scheme val="major"/>
      </rPr>
      <t>참고용</t>
    </r>
    <r>
      <rPr>
        <sz val="10"/>
        <color theme="1" tint="0.249977111117893"/>
        <rFont val="맑은 고딕"/>
        <family val="3"/>
        <charset val="129"/>
        <scheme val="major"/>
      </rPr>
      <t xml:space="preserve">이며, 현장 여건에 따라 다른 저감대책을 선택·적용할 수 있습니다.
        - 항목별 특화 대책 외에도 </t>
    </r>
    <r>
      <rPr>
        <b/>
        <sz val="10"/>
        <color theme="1" tint="0.249977111117893"/>
        <rFont val="맑은 고딕"/>
        <family val="3"/>
        <charset val="129"/>
        <scheme val="major"/>
      </rPr>
      <t>공통 적용 가능한 저감대책</t>
    </r>
    <r>
      <rPr>
        <sz val="10"/>
        <color theme="1" tint="0.249977111117893"/>
        <rFont val="맑은 고딕"/>
        <family val="3"/>
        <charset val="129"/>
        <scheme val="major"/>
      </rPr>
      <t>이 DB에 등록되어 있으니, 함께 확인해 주시기 바랍니다.</t>
    </r>
    <phoneticPr fontId="1" type="noConversion"/>
  </si>
  <si>
    <t>구분</t>
  </si>
  <si>
    <t>항목 No.</t>
  </si>
  <si>
    <t>평가 항목</t>
  </si>
  <si>
    <t>점수</t>
  </si>
  <si>
    <t>추천 저감대책</t>
    <phoneticPr fontId="1" type="noConversion"/>
  </si>
  <si>
    <t>공학적 제어</t>
    <phoneticPr fontId="1" type="noConversion"/>
  </si>
  <si>
    <t>운영적 제어</t>
    <phoneticPr fontId="1" type="noConversion"/>
  </si>
  <si>
    <t>행정적 제어</t>
    <phoneticPr fontId="1" type="noConversion"/>
  </si>
  <si>
    <t>보호구(PPE)</t>
    <phoneticPr fontId="1" type="noConversion"/>
  </si>
  <si>
    <t>DB No.</t>
    <phoneticPr fontId="1" type="noConversion"/>
  </si>
  <si>
    <t>내용</t>
    <phoneticPr fontId="1" type="noConversion"/>
  </si>
  <si>
    <t>유해성</t>
  </si>
  <si>
    <t>가능성</t>
  </si>
  <si>
    <t xml:space="preserve"> 2. 적용할 저감대책 선택</t>
    <phoneticPr fontId="1" type="noConversion"/>
  </si>
  <si>
    <r>
      <t xml:space="preserve">    - 저감대책 선정 검토 시, 상단의 '고위험 항목 추천 저감대책' 확인하여 고위험 항목과 이에 특화된 추천 저감대책을 참고하시기 바랍니다.
    -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적용할 저감대책을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'⑥ 저감대책DB' Sheet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에서 선택한 후, 적용할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**DB No.**(노란색 셀)</t>
    </r>
    <r>
      <rPr>
        <u/>
        <sz val="10"/>
        <color theme="1" tint="0.249977111117893"/>
        <rFont val="맑은 고딕"/>
        <family val="3"/>
        <charset val="129"/>
        <scheme val="major"/>
      </rPr>
      <t>를 입력</t>
    </r>
    <r>
      <rPr>
        <sz val="10"/>
        <color theme="1" tint="0.249977111117893"/>
        <rFont val="맑은 고딕"/>
        <family val="3"/>
        <charset val="129"/>
        <scheme val="major"/>
      </rPr>
      <t xml:space="preserve">합니다. (저감대책 DB List는 필요시 사업장에서 '⑥ 저감대책DB' Sheet에 추가하여 운영 가능합니다)
    - 적용할 저감대책은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위계별 1~3개 입력 가능하며, 드롭다운에서 선택합니다.
</t>
    </r>
    <r>
      <rPr>
        <sz val="10"/>
        <color theme="1" tint="0.249977111117893"/>
        <rFont val="맑은 고딕"/>
        <family val="3"/>
        <charset val="129"/>
        <scheme val="major"/>
      </rPr>
      <t xml:space="preserve">    - 저감효과 과대 산정을 방지하기 위해, 1) 가중치 적용 : 위계 內 가중 합산 (1순위 100% + 2순위 75% + 3순위 50%)  |  위계 間 가중 합산 (공학 100% + 운영 75% + 행정 50% + 보호구 50%)
                                                   2) 전체 감소량 상한 설정 : 기본 가능성 점수의 최대 60%까지로 감소 상한 적용</t>
    </r>
    <phoneticPr fontId="1" type="noConversion"/>
  </si>
  <si>
    <t>저감대책 구분(위계)</t>
    <phoneticPr fontId="1" type="noConversion"/>
  </si>
  <si>
    <t>대책1</t>
    <phoneticPr fontId="1" type="noConversion"/>
  </si>
  <si>
    <t>대책2</t>
    <phoneticPr fontId="1" type="noConversion"/>
  </si>
  <si>
    <t>대책3</t>
    <phoneticPr fontId="1" type="noConversion"/>
  </si>
  <si>
    <t xml:space="preserve">  공학적 제어 (Engineering)</t>
    <phoneticPr fontId="1" type="noConversion"/>
  </si>
  <si>
    <t xml:space="preserve">  운영적 제어 (Operational)</t>
    <phoneticPr fontId="1" type="noConversion"/>
  </si>
  <si>
    <t xml:space="preserve">  행정적 제어 (Administrative)</t>
    <phoneticPr fontId="1" type="noConversion"/>
  </si>
  <si>
    <t xml:space="preserve">  보호구(PPE) 착용 의무화</t>
    <phoneticPr fontId="1" type="noConversion"/>
  </si>
  <si>
    <t>적용 대책의 영향 항목</t>
    <phoneticPr fontId="1" type="noConversion"/>
  </si>
  <si>
    <t>● 공학: - / - / -
● 운영: - / - / -
● 행정: - / - / -
● 보호구 : - / - / -</t>
  </si>
  <si>
    <t xml:space="preserve"> 3. 최종 위험성 결정</t>
    <phoneticPr fontId="1" type="noConversion"/>
  </si>
  <si>
    <r>
      <t xml:space="preserve">  가능성 점수 </t>
    </r>
    <r>
      <rPr>
        <sz val="10"/>
        <color theme="0"/>
        <rFont val="맑은 고딕"/>
        <family val="3"/>
        <charset val="129"/>
        <scheme val="major"/>
      </rPr>
      <t>(저감대책 적용 후)</t>
    </r>
    <phoneticPr fontId="1" type="noConversion"/>
  </si>
  <si>
    <t>1) 가중치 적용 : 위계 內 가중 합산 (1순위 100% + 2순위 75% + 3순위 50%)  |  위계 間 가중 합산 (공학 100% + 운영 75% + 행정 50% + 보호구 50%)
2) 전체 감소량 상한 설정 : 기본 가능성 점수의 최대 60%까지로 감소 상한 적용</t>
    <phoneticPr fontId="1" type="noConversion"/>
  </si>
  <si>
    <r>
      <t xml:space="preserve">  가능성 등급  </t>
    </r>
    <r>
      <rPr>
        <sz val="10"/>
        <color theme="0"/>
        <rFont val="맑은 고딕"/>
        <family val="3"/>
        <charset val="129"/>
        <scheme val="major"/>
      </rPr>
      <t>(1~5등급, 저감대책 적용 후)</t>
    </r>
    <phoneticPr fontId="1" type="noConversion"/>
  </si>
  <si>
    <t xml:space="preserve">  최종 위험도  (유해성등급 × 가능성등급)</t>
    <phoneticPr fontId="1" type="noConversion"/>
  </si>
  <si>
    <t>환경오염 위험성</t>
    <phoneticPr fontId="1" type="noConversion"/>
  </si>
  <si>
    <t>Environmental Pollution Hazard  |  환경오염 (수계, 토양, 생물, 대기)</t>
    <phoneticPr fontId="1" type="noConversion"/>
  </si>
  <si>
    <t>수계오염</t>
  </si>
  <si>
    <t>수생 생물 급성 독성</t>
    <phoneticPr fontId="1" type="noConversion"/>
  </si>
  <si>
    <t>1. Sec2 H400~H402
2. Sec12 어류LC50
3. Sec12 물벼룩/갑각류EC50</t>
    <phoneticPr fontId="1" type="noConversion"/>
  </si>
  <si>
    <t>없음
LC50/EC50
&gt;1000mg/L</t>
    <phoneticPr fontId="1" type="noConversion"/>
  </si>
  <si>
    <t>저독성
LC50/EC50
100~1000mg/L</t>
    <phoneticPr fontId="1" type="noConversion"/>
  </si>
  <si>
    <t>중등독성
H402
LC50/EC50
10~100mg/L</t>
    <phoneticPr fontId="1" type="noConversion"/>
  </si>
  <si>
    <t>고독성
H401
LC50/EC50
1~10mg/L</t>
    <phoneticPr fontId="1" type="noConversion"/>
  </si>
  <si>
    <t>극독성
H400
LC50/EC50
≤1mg/L</t>
    <phoneticPr fontId="1" type="noConversion"/>
  </si>
  <si>
    <t>근거: GHS 수생독성 분류 + OECD 시험지침
▸ 주요 출처
  ① 환경부 고시 제2023-2호
     「화학물질의 분류·표시에 관한 규정」
     수생 급성독성 Cat.1~3 분류 기준
     H400(≤1mg/L), H401(1~10),
     H402(10~100mg/L)
  ② OECD 시험지침 TG 203(2019)
     어류 급성 독성 시험
     LC50(96h) 측정 표준 방법
  ③ OECD 시험지침 TG 202(2004)
     물벼룩 급성 독성 시험
     EC50(48h) 측정 표준 방법</t>
    <phoneticPr fontId="1" type="noConversion"/>
  </si>
  <si>
    <t>수생 생물 만성 독성</t>
    <phoneticPr fontId="1" type="noConversion"/>
  </si>
  <si>
    <t>1. Sec2 H410~H413</t>
    <phoneticPr fontId="1" type="noConversion"/>
  </si>
  <si>
    <t>없음
또는 자료없음</t>
    <phoneticPr fontId="1" type="noConversion"/>
  </si>
  <si>
    <t>저독성
H413</t>
    <phoneticPr fontId="1" type="noConversion"/>
  </si>
  <si>
    <t>중등독성
H412</t>
    <phoneticPr fontId="1" type="noConversion"/>
  </si>
  <si>
    <t>고독성
H411</t>
    <phoneticPr fontId="1" type="noConversion"/>
  </si>
  <si>
    <t>극독성
H410</t>
    <phoneticPr fontId="1" type="noConversion"/>
  </si>
  <si>
    <t>근거: GHS 만성 수생독성 분류 + 화평법
▸ 주요 출처
  ① 환경부 고시 제2023-2호
     GHS 만성 수생독성 Cat.1~4
     H410(Cat.1)~H413(Cat.4) 정의
     NOEC 농도 기준 포함
  ② 화학물질 등록 및 평가 등에 관한
     법률(화평법, 환경부)
     제23조 장기독성 자료 요구 기준
  ③ OECD TG 210(2013) 어류 초기 생활사
     독성 시험, TG 211(2012) 물벼룩 번식
     시험 — NOEC 측정 방법 표준
▸ 점수 구간 설정 배경
  GHS 만성독성 H413(Cat.4)→2점,
  H410(Cat.1)→5점 역매핑 적용</t>
    <phoneticPr fontId="1" type="noConversion"/>
  </si>
  <si>
    <t>수계 분해성·생분해도</t>
    <phoneticPr fontId="1" type="noConversion"/>
  </si>
  <si>
    <t xml:space="preserve">1. Sec12 생분해도
2. Sec12 DT50 </t>
    <phoneticPr fontId="1" type="noConversion"/>
  </si>
  <si>
    <t>빠른 분해
생분해≥60%
또는
무기물·이온화물질</t>
    <phoneticPr fontId="1" type="noConversion"/>
  </si>
  <si>
    <t>비교적 빠름
생분해 40~60%
DT50 10~28일</t>
  </si>
  <si>
    <t>중간 분해
생분해 20~40%
DT50 28~60일</t>
  </si>
  <si>
    <t>느린 분해
생분해 5~20%
DT50 60~180일</t>
    <phoneticPr fontId="1" type="noConversion"/>
  </si>
  <si>
    <t>거의 안됨
생분해&lt;5%
DT50&gt;180일</t>
    <phoneticPr fontId="1" type="noConversion"/>
  </si>
  <si>
    <t>근거: OECD 생분해도 시험 + EU PBT 기준
▸ 주요 출처
  ① OECD 시험지침 TG 301B/F(2023)
     '쉬운 생분해성(Ready biodegradability)'
     기준: 28일 내 60% 이상 분해
  ② EU REACH 규정(2006/1907/EC)
     PBT 잔류성 판단 기준:
     해수 DT50&gt;60일 또는
     담수 DT50&gt;40일 = 잔류성 물질(P)
  ③ 환경부 화평법 시행규칙
     잔류성 물질 등록 기준
     (EU REACH PBT 기준 준용)
▸ 점수 구간 설정 배경
  OECD 60% 기준과 PBT 판단 기준
  DT50(10·28·60·180일)을 결합하여
  5단계 구간 설정</t>
    <phoneticPr fontId="1" type="noConversion"/>
  </si>
  <si>
    <t>토양오염</t>
  </si>
  <si>
    <t>토양 흡착성·이동성 (Koc / logKow)</t>
    <phoneticPr fontId="1" type="noConversion"/>
  </si>
  <si>
    <t>1. Sec9 logKow
2. Sec12 Koc</t>
    <phoneticPr fontId="1" type="noConversion"/>
  </si>
  <si>
    <t>이동성 없음
Koc≥5,000 또는
logKow≥4.5(이온화)</t>
    <phoneticPr fontId="1" type="noConversion"/>
  </si>
  <si>
    <t>낮은 이동성
Koc 1,000~5,000
logKow 3.5~4.5</t>
    <phoneticPr fontId="1" type="noConversion"/>
  </si>
  <si>
    <t>중간 이동성
Koc 200~1,000
logKow 2.7~3.5</t>
    <phoneticPr fontId="1" type="noConversion"/>
  </si>
  <si>
    <t>높은 이동성
Koc 50~200
logKow 2~2.7</t>
    <phoneticPr fontId="1" type="noConversion"/>
  </si>
  <si>
    <t>매우 높은 이동성
Koc&lt;50
logKow&lt;2</t>
    <phoneticPr fontId="1" type="noConversion"/>
  </si>
  <si>
    <t>근거: Koc-이동성 분류 + 화학물질 위해성 평가
▸ 주요 출처
  ① 환경부 고시 제2021-206호
     「화학물질의 위해성 평가 등에 관한
     규정」 — 토양 이동성 평가 방법
  ② Swann 등(1983) 토양 이동성 분류
     (Koc 기준, EPA OCSPP 835.1110)
     Koc &lt;50: 매우 높은 이동성
     Koc 50~500: 보통 이동성
     Koc &gt;2,000: 낮은 이동성
  ③ KOSHA 화학물질 위해성 평가 가이드
     logKow ↔ Koc 환산 공식 활용
▸ 점수 구간 설정 배경
  EPA/환경부 토양 이동성 분류 Koc 구간
  (50·200·1,000·10,000)을 직접 적용</t>
    <phoneticPr fontId="1" type="noConversion"/>
  </si>
  <si>
    <t>토양 잔류성 (반감기 DT50)</t>
    <phoneticPr fontId="1" type="noConversion"/>
  </si>
  <si>
    <t xml:space="preserve">1. Sec12 DT50 </t>
    <phoneticPr fontId="1" type="noConversion"/>
  </si>
  <si>
    <t>빠른 분해
DT50≤60일
무기물→1점</t>
    <phoneticPr fontId="1" type="noConversion"/>
  </si>
  <si>
    <t>비교적 빠름
DT50 60~120일</t>
    <phoneticPr fontId="1" type="noConversion"/>
  </si>
  <si>
    <t>중간 잔류
DT50 120~180일
PBT 기준 P</t>
    <phoneticPr fontId="1" type="noConversion"/>
  </si>
  <si>
    <t>높은 잔류
DT50 180~365일
PBT 기준 vP</t>
    <phoneticPr fontId="1" type="noConversion"/>
  </si>
  <si>
    <t xml:space="preserve">매우 높은 잔류
DT50&gt;365일
</t>
    <phoneticPr fontId="1" type="noConversion"/>
  </si>
  <si>
    <t>근거: EU PBT 잔류성 기준 + 화평법
▸ 주요 출처
  ① EU REACH Annex XIII
     PBT 잔류성(P) 기준:
     토양 DT50 &gt;120일
     vP(very Persistent) 기준: &gt;120일
  ② 환경부 화평법 시행규칙 별표5
     잔류성·생물농축성·독성(PBT) 기준
     (EU REACH 기준 준용)
  ③ OECD TG 307(2002)
     토양 중 분해성(DT50) 시험 표준
▸ 점수 구간 설정 배경
  PBT 잔류성 판단 기준 DT50=120일과
  생태계 위험 수준(10·60·180·365일)을
  5단계로 구분</t>
    <phoneticPr fontId="1" type="noConversion"/>
  </si>
  <si>
    <t>생물농축</t>
  </si>
  <si>
    <t>생물농축성 (BCF 또는 logKow)</t>
  </si>
  <si>
    <t>1. Sec12 PBT/vPvB 
2. Sec12 BCF
3. Sec9 logKow</t>
    <phoneticPr fontId="1" type="noConversion"/>
  </si>
  <si>
    <t>농축 없음
BCF&lt;100 또는
logKow&lt;3.2</t>
    <phoneticPr fontId="1" type="noConversion"/>
  </si>
  <si>
    <t>낮은 농축
BCF 100~500
logKow 3.2~4.0</t>
    <phoneticPr fontId="1" type="noConversion"/>
  </si>
  <si>
    <t>중간 농축
BCF 500~2,000
logKow 4.0~4.7</t>
    <phoneticPr fontId="1" type="noConversion"/>
  </si>
  <si>
    <t>높은 농축
BCF 2,000~5,000
logKow 4.7~5.2
REACH PBT</t>
    <phoneticPr fontId="1" type="noConversion"/>
  </si>
  <si>
    <t>매우 높음
BCF≥5,000 또는
logKow ≥5.2
REACH vPvB 명시</t>
    <phoneticPr fontId="1" type="noConversion"/>
  </si>
  <si>
    <t>근거: EU PBT/BCF 기준 + 화평법 생물농축
▸ 주요 출처
  ① EU REACH Annex XIII
     생물농축성(B) 기준: BCF&gt;2,000
     vB(very Bioaccumulative): BCF&gt;5,000
  ② OECD TG 305(2012)
     어류 생물농축 시험(BCF 측정)
     logKow ↔ BCF 상관관계 활용
  ③ 환경부 화평법 시행규칙
     생물농축성 등록·평가 기준
     (EU REACH Annex XIII 준용)
▸ 점수 구간 설정 배경
  EU REACH BCF 기준(2,000/5,000)을
  4·5점 경계로 사용하고,
  100·500·2,000을 1~3점 경계로 설정</t>
    <phoneticPr fontId="1" type="noConversion"/>
  </si>
  <si>
    <t>PBT/vPvB 복합 특성</t>
    <phoneticPr fontId="1" type="noConversion"/>
  </si>
  <si>
    <t xml:space="preserve">1. Sec12 PBT/vPvB </t>
    <phoneticPr fontId="1" type="noConversion"/>
  </si>
  <si>
    <t>PBT 비해당
3기준 미달</t>
  </si>
  <si>
    <t>1가지 기준
해당</t>
  </si>
  <si>
    <t>2가지 기준
해당</t>
  </si>
  <si>
    <t>PBT 해당
3가지 기준 충족</t>
  </si>
  <si>
    <t>vPvB 해당</t>
    <phoneticPr fontId="1" type="noConversion"/>
  </si>
  <si>
    <t>근거: 화평법 PBT 기준 + EU REACH
▸ 주요 출처
  ① 화학물질 등록 및 평가 등에 관한
     법률(화평법) 시행규칙 별표5(환경부)
     PBT(잔류성·농축성·독성) 및
     vPvB(극잔류성·극농축성) 판단 기준
  ② EU REACH Annex XIII(2011)
     PBT/vPvB 물질 평가 기준
     — 화평법 PBT 기준의 모태
  ③ 환경부 화학물질안전원
     「화학물질 위해성 평가 방법 안내」
     PBT 스크리닝 절차 안내
▸ 점수 구간 설정 배경
  P·B·T 3개 기준 충족 여부를
  충족 개수(0→1→2→3개)로 단계화하고,
  vPvB는 가장 높은 위험으로 분류</t>
    <phoneticPr fontId="1" type="noConversion"/>
  </si>
  <si>
    <t>대기오염</t>
  </si>
  <si>
    <t>대기오염 영향 (VOC, ODS)</t>
  </si>
  <si>
    <t>1. Sec2 H420
2. Sec9 증기압</t>
    <phoneticPr fontId="1" type="noConversion"/>
  </si>
  <si>
    <t>영향 없음
비VOC·H420없음
증기압&lt;1mmHg</t>
    <phoneticPr fontId="1" type="noConversion"/>
  </si>
  <si>
    <t>낮음
증기압 1~10mmHg
VOC 해당</t>
    <phoneticPr fontId="1" type="noConversion"/>
  </si>
  <si>
    <t>중등
증기압 10~100mmHg
광화학스모그</t>
    <phoneticPr fontId="1" type="noConversion"/>
  </si>
  <si>
    <t>높음
증기압≥100mmHg</t>
    <phoneticPr fontId="1" type="noConversion"/>
  </si>
  <si>
    <t>심각
H420(ODS)</t>
    <phoneticPr fontId="1" type="noConversion"/>
  </si>
  <si>
    <t>근거: 대기환경보전법 + 몬트리올 의정서
▸ 주요 출처
  ① 환경부 대기환경보전법 제44조
     VOC 배출 사업장 관리 기준
     (증기압·발생량 기반 규제)
  ② GHS H420 코드
     오존층 유해성(Hazardous to the
     ozone layer) — 몬트리올 의정서
     규제 물질 해당 시 부여
  ③ 환경부 「오존층 보호를 위한
     특정물질의 제조규제 등에 관한
     법률(오존층보호법)」
▸ 점수 구간 설정 배경
  H420(ODS) 해당→5점(국제협약 규제)
  증기압 기준(1·10·100 mmHg)은
  VOC 배출 잠재성과 연관된
  KOSHA 노출 가능성 지표 준용</t>
    <phoneticPr fontId="1" type="noConversion"/>
  </si>
  <si>
    <t>① 취급 횟수</t>
    <phoneticPr fontId="1" type="noConversion"/>
  </si>
  <si>
    <t>② 1회 취급량</t>
    <phoneticPr fontId="1" type="noConversion"/>
  </si>
  <si>
    <t>1점: &lt; 1 kg(L) |  2점: 1 ~ 10 kg(L)  |  3점: 10 ~ 100 kg(L)  |  4점: 100 ~ 1,000 kg(L)  |  5점: ≥ 1,000 kg(L) 또는 대량 상시 취급</t>
    <phoneticPr fontId="1" type="noConversion"/>
  </si>
  <si>
    <t>③ 환경 접촉 가능성</t>
    <phoneticPr fontId="1" type="noConversion"/>
  </si>
  <si>
    <t>1점: 밀폐 공정  |  2점: 사용 후 즉시 밀봉 (유사시 즉시 전량 회수 가능)  |  3점: 주기적 사용, 소량 잔류·배출 또는 대기 휘발 가능 (유사시 외부 누출 가능성 有)  |  4점: 반복적 사용, 수계·토양 접촉 또는 대기 배출 가능성 상당  |  5점: 개방 공정, 수계·토양·대기 배출 경로 상시 존재</t>
    <phoneticPr fontId="1" type="noConversion"/>
  </si>
  <si>
    <r>
      <t xml:space="preserve">  1)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Ⅲ. 위험성이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허용 불가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 수준인 경우, 저감대책을 수립하여 위험도를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8 이하</t>
    </r>
    <r>
      <rPr>
        <u/>
        <sz val="10"/>
        <color theme="1" tint="0.249977111117893"/>
        <rFont val="맑은 고딕"/>
        <family val="3"/>
        <charset val="129"/>
        <scheme val="major"/>
      </rPr>
      <t>로 낮추어야 도입이 가능하며, 도입/취급 前 수립한 저감대책을 이행하세요.</t>
    </r>
    <r>
      <rPr>
        <sz val="10"/>
        <color theme="1" tint="0.249977111117893"/>
        <rFont val="맑은 고딕"/>
        <family val="3"/>
        <charset val="129"/>
        <scheme val="major"/>
      </rPr>
      <t xml:space="preserve">
      - 저감대책은 공학적→운영적→행정적 순의 위계로 구분되며, 각 저감대책 적용 시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가능성 등급을 낮춰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 위험도를 저감합니다</t>
    </r>
    <r>
      <rPr>
        <sz val="10"/>
        <color theme="1" tint="0.249977111117893"/>
        <rFont val="맑은 고딕"/>
        <family val="3"/>
        <charset val="129"/>
        <scheme val="major"/>
      </rPr>
      <t xml:space="preserve">. </t>
    </r>
    <r>
      <rPr>
        <i/>
        <sz val="10"/>
        <color theme="1" tint="0.249977111117893"/>
        <rFont val="맑은 고딕"/>
        <family val="3"/>
        <charset val="129"/>
        <scheme val="major"/>
      </rPr>
      <t>(유해성은 물질 고유 특성이므로 저감 대상에서 제외)</t>
    </r>
    <r>
      <rPr>
        <sz val="10"/>
        <color theme="1" tint="0.249977111117893"/>
        <rFont val="맑은 고딕"/>
        <family val="3"/>
        <charset val="129"/>
        <scheme val="major"/>
      </rPr>
      <t xml:space="preserve">
      - 저감대책은 </t>
    </r>
    <r>
      <rPr>
        <b/>
        <sz val="10"/>
        <color theme="1" tint="0.249977111117893"/>
        <rFont val="맑은 고딕"/>
        <family val="3"/>
        <charset val="129"/>
        <scheme val="major"/>
      </rPr>
      <t>'⑥ 저감대책DB' Sheet</t>
    </r>
    <r>
      <rPr>
        <sz val="10"/>
        <color theme="1" tint="0.249977111117893"/>
        <rFont val="맑은 고딕"/>
        <family val="3"/>
        <charset val="129"/>
        <scheme val="major"/>
      </rPr>
      <t xml:space="preserve">에서 선택한 후, 적용할 </t>
    </r>
    <r>
      <rPr>
        <b/>
        <sz val="10"/>
        <color theme="1" tint="0.249977111117893"/>
        <rFont val="맑은 고딕"/>
        <family val="3"/>
        <charset val="129"/>
        <scheme val="major"/>
      </rPr>
      <t>**DB No.**</t>
    </r>
    <r>
      <rPr>
        <sz val="10"/>
        <color theme="1" tint="0.249977111117893"/>
        <rFont val="맑은 고딕"/>
        <family val="3"/>
        <charset val="129"/>
        <scheme val="major"/>
      </rPr>
      <t xml:space="preserve">를 입력합니다. (저감대책 DB List는 필요시 사업장에서 '⑥ 저감대책DB' Sheet에 추가하여 운영 가능합니다)
  2)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Ⅲ. 위험성이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허용 가능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 수준인 경우에도, 적용할 저감대책이 있는 경우 이를 입력하여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최종 위험도</t>
    </r>
    <r>
      <rPr>
        <u/>
        <sz val="10"/>
        <color theme="1" tint="0.249977111117893"/>
        <rFont val="맑은 고딕"/>
        <family val="3"/>
        <charset val="129"/>
        <scheme val="major"/>
      </rPr>
      <t>를 확인하세요.</t>
    </r>
    <phoneticPr fontId="1" type="noConversion"/>
  </si>
  <si>
    <r>
      <t xml:space="preserve">    - 저감대책 선정 검토 시, 상단의 '고위험 항목 추천 저감대책' 확인하여 고위험 항목과 이에 특화된 추천 저감대책을 참고하시기 바랍니다.
    -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적용할 저감대책을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'⑥ 저감대책DB' Sheet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에서 선택한 후, 적용할 </t>
    </r>
    <r>
      <rPr>
        <b/>
        <u/>
        <sz val="10"/>
        <color theme="1" tint="0.249977111117893"/>
        <rFont val="맑은 고딕"/>
        <family val="3"/>
        <charset val="129"/>
        <scheme val="major"/>
      </rPr>
      <t>**DB No.**(노란색 셀)</t>
    </r>
    <r>
      <rPr>
        <u/>
        <sz val="10"/>
        <color theme="1" tint="0.249977111117893"/>
        <rFont val="맑은 고딕"/>
        <family val="3"/>
        <charset val="129"/>
        <scheme val="major"/>
      </rPr>
      <t>를 입력</t>
    </r>
    <r>
      <rPr>
        <sz val="10"/>
        <color theme="1" tint="0.249977111117893"/>
        <rFont val="맑은 고딕"/>
        <family val="3"/>
        <charset val="129"/>
        <scheme val="major"/>
      </rPr>
      <t xml:space="preserve">합니다. (저감대책 DB List는 필요시 사업장에서 '⑥ 저감대책DB' Sheet에 추가하여 운영 가능합니다)
    - 적용할 저감대책은 </t>
    </r>
    <r>
      <rPr>
        <u/>
        <sz val="10"/>
        <color theme="1" tint="0.249977111117893"/>
        <rFont val="맑은 고딕"/>
        <family val="3"/>
        <charset val="129"/>
        <scheme val="major"/>
      </rPr>
      <t xml:space="preserve">위계별 1~3개 입력 가능하며, 드롭다운에서 선택합니다.
</t>
    </r>
    <r>
      <rPr>
        <sz val="10"/>
        <color theme="1" tint="0.249977111117893"/>
        <rFont val="맑은 고딕"/>
        <family val="3"/>
        <charset val="129"/>
        <scheme val="major"/>
      </rPr>
      <t xml:space="preserve">    - 저감효과 과대 산정을 방지하기 위해, 1) 가중치 적용 : 위계 內 가중 합산 (1순위 100% + 2순위 75% + 3순위 50%)  |  위계 間 가중 합산 (공학 100% + 운영 75% + 행정 50%)
                                                   2) 전체 감소량 상한 설정 : 기본 가능성 점수의 최대 60%까지로 감소 상한 적용</t>
    </r>
    <phoneticPr fontId="1" type="noConversion"/>
  </si>
  <si>
    <t>● 공학: - / - / -
● 운영: - / - / -
● 행정: - / - / -</t>
  </si>
  <si>
    <t>1) 가중치 적용 : 위계 內 가중 합산 (1순위 100% + 2순위 75% + 3순위 50%)  |  위계 間 가중 합산 (공학 100% + 운영 75% + 행정 50%)
2) 전체 감소량 상한 설정 : 기본 가능성 점수의 최대 60%까지로 감소 상한 적용</t>
    <phoneticPr fontId="1" type="noConversion"/>
  </si>
  <si>
    <t xml:space="preserve"> 작업자 안전보건 위험성</t>
    <phoneticPr fontId="1" type="noConversion"/>
  </si>
  <si>
    <t>Worker Safety &amp; Health Hazard  |  급성독성·만성독성·노출기준</t>
    <phoneticPr fontId="1" type="noConversion"/>
  </si>
  <si>
    <r>
      <t xml:space="preserve">  1) 8개의 유해성 평가항목별 </t>
    </r>
    <r>
      <rPr>
        <u/>
        <sz val="10"/>
        <color theme="1" tint="0.249977111117893"/>
        <rFont val="맑은 고딕"/>
        <family val="3"/>
        <charset val="129"/>
      </rPr>
      <t>유해성 점수(F열, 노란색 셀)를 입력</t>
    </r>
    <r>
      <rPr>
        <sz val="10"/>
        <color theme="1" tint="0.249977111117893"/>
        <rFont val="맑은 고딕"/>
        <family val="3"/>
        <charset val="129"/>
      </rPr>
      <t xml:space="preserve">하세요.
     - '[참고값] 유해성'(E열)은 '①기초Data'Sheet와 연동되어 유해성(1~5점)을 제시합니다. 해당 값을 참고하여 진행하시고, 만일 </t>
    </r>
    <r>
      <rPr>
        <u/>
        <sz val="10"/>
        <color theme="1" tint="0.249977111117893"/>
        <rFont val="맑은 고딕"/>
        <family val="3"/>
        <charset val="129"/>
      </rPr>
      <t>[참고값]과 다르게 유해성을 입력하는 경우, '비고'(M열)에 다르게 평가한 사유 기재 要</t>
    </r>
    <r>
      <rPr>
        <sz val="10"/>
        <color theme="1" tint="0.249977111117893"/>
        <rFont val="맑은 고딕"/>
        <family val="3"/>
        <charset val="129"/>
      </rPr>
      <t xml:space="preserve">
  2) 8개의 유해성 평가항목을 모두 입력한 후, 산정된 유해성 등급(20행, 1~5등급)을 확인하세요.</t>
    </r>
    <phoneticPr fontId="1" type="noConversion"/>
  </si>
  <si>
    <r>
      <t>[참고값] 유해성</t>
    </r>
    <r>
      <rPr>
        <sz val="10"/>
        <rFont val="맑은 고딕"/>
        <family val="3"/>
        <charset val="129"/>
      </rPr>
      <t xml:space="preserve">
</t>
    </r>
    <r>
      <rPr>
        <sz val="9"/>
        <rFont val="맑은 고딕"/>
        <family val="3"/>
        <charset val="129"/>
      </rPr>
      <t>(①기초Data 연동)</t>
    </r>
    <phoneticPr fontId="1" type="noConversion"/>
  </si>
  <si>
    <r>
      <rPr>
        <b/>
        <u/>
        <sz val="10"/>
        <color rgb="FFFFFFFF"/>
        <rFont val="맑은 고딕"/>
        <family val="3"/>
        <charset val="129"/>
      </rPr>
      <t>▶유해성 입력</t>
    </r>
    <r>
      <rPr>
        <b/>
        <sz val="10"/>
        <color rgb="FFFFFFFF"/>
        <rFont val="맑은 고딕"/>
        <family val="3"/>
        <charset val="129"/>
      </rPr>
      <t xml:space="preserve">
(1~5)</t>
    </r>
    <phoneticPr fontId="1" type="noConversion"/>
  </si>
  <si>
    <r>
      <t xml:space="preserve">1점
</t>
    </r>
    <r>
      <rPr>
        <sz val="10"/>
        <rFont val="맑은 고딕"/>
        <family val="3"/>
        <charset val="129"/>
      </rPr>
      <t>(미미)</t>
    </r>
    <phoneticPr fontId="1" type="noConversion"/>
  </si>
  <si>
    <r>
      <t xml:space="preserve">2점 
</t>
    </r>
    <r>
      <rPr>
        <sz val="10"/>
        <rFont val="맑은 고딕"/>
        <family val="3"/>
        <charset val="129"/>
      </rPr>
      <t>(경미)</t>
    </r>
    <phoneticPr fontId="1" type="noConversion"/>
  </si>
  <si>
    <r>
      <t xml:space="preserve">3점
</t>
    </r>
    <r>
      <rPr>
        <sz val="10"/>
        <rFont val="맑은 고딕"/>
        <family val="3"/>
        <charset val="129"/>
      </rPr>
      <t>(보통)</t>
    </r>
    <phoneticPr fontId="1" type="noConversion"/>
  </si>
  <si>
    <r>
      <t xml:space="preserve">4점
</t>
    </r>
    <r>
      <rPr>
        <sz val="10"/>
        <rFont val="맑은 고딕"/>
        <family val="3"/>
        <charset val="129"/>
      </rPr>
      <t>(중대)</t>
    </r>
    <phoneticPr fontId="1" type="noConversion"/>
  </si>
  <si>
    <r>
      <t xml:space="preserve">5점
</t>
    </r>
    <r>
      <rPr>
        <sz val="10"/>
        <rFont val="맑은 고딕"/>
        <family val="3"/>
        <charset val="129"/>
      </rPr>
      <t>(치명)</t>
    </r>
    <phoneticPr fontId="1" type="noConversion"/>
  </si>
  <si>
    <t>급성독성</t>
  </si>
  <si>
    <t>흡입 독성 (증기, 분기/미스트)</t>
    <phoneticPr fontId="1" type="noConversion"/>
  </si>
  <si>
    <t>1. Sec2 H330~H333
2. Sec11 흡입LC50 (mg/L)</t>
    <phoneticPr fontId="1" type="noConversion"/>
  </si>
  <si>
    <t>독성 없음
LC50(증기)&gt;50mg/L
LC50(분진/미스트)&gt;12.5mg/L</t>
    <phoneticPr fontId="1" type="noConversion"/>
  </si>
  <si>
    <t>저독성
H333
LC50(증기) 20~50mg/L
LC50(분진/미스트) 5.0~12.5mg/L</t>
    <phoneticPr fontId="1" type="noConversion"/>
  </si>
  <si>
    <t>중등독성
H332
LC50(증기) 2.0~20mg/L
LC50(분진/미스트) 1.0~5.0mg/L</t>
    <phoneticPr fontId="1" type="noConversion"/>
  </si>
  <si>
    <t>고독성
H331
LC50(증기) 0.5~2.0mg/L
LC50(분진/미스트) 0.5~1.0mg/L</t>
    <phoneticPr fontId="1" type="noConversion"/>
  </si>
  <si>
    <t>극독성
H330
LC50(증기)≤0.5mg/L
LC50(분진/미스트)≤0.5mg/L</t>
    <phoneticPr fontId="1" type="noConversion"/>
  </si>
  <si>
    <t>근거: GHS 흡입독성 + 고용부 노출기준 고시
▸ 주요 출처
  ① 고용노동부 고시 제2023-43호
     「화학물질 및 물리적 인자의
     노출기준」 — TLV-TWA 수치 목록
  ② 환경부·고용노동부 공동 고시
     GHS 급성독성 흡입 분류 기준
     H330(Cat.1~2): LC50≤0.5 mg/L
     H331(Cat.3): 0.5~1.0 mg/L
     H332(Cat.4): 1~5 mg/L
  ③ KOSHA GUIDE H-44-2022
     「작업환경측정 및 정도관리 지침」
     TWA 기반 노출 수준 평가 방법
▸ 점수 구간 설정 배경
  LC50 구간(&lt;0.5/0.5~1/1~5/5~20/&gt;20
  mg/L)은 GHS 급성독성 Cat.1~5를
  직접 적용하고, TWA와 MAX 사용</t>
    <phoneticPr fontId="1" type="noConversion"/>
  </si>
  <si>
    <t xml:space="preserve">경구·경피 독성 </t>
    <phoneticPr fontId="1" type="noConversion"/>
  </si>
  <si>
    <t xml:space="preserve">1. Sec2 H300~302, H304~305, H310~312
2. Sec11 경구/경피LD50 (mg/kg)
</t>
    <phoneticPr fontId="1" type="noConversion"/>
  </si>
  <si>
    <t>독성 없음
경구LD50 &gt;2,000mg/kg
경피LD50 &gt;2000mg/kg</t>
    <phoneticPr fontId="1" type="noConversion"/>
  </si>
  <si>
    <t>저독성
H302, H312
경구LD50≤2000mg/kg
경피LD50≤2000mg/kg</t>
    <phoneticPr fontId="1" type="noConversion"/>
  </si>
  <si>
    <t>중등독성
H305
경구LD50≤1000mg/kg
경피LD50≤1500mg/kg</t>
    <phoneticPr fontId="1" type="noConversion"/>
  </si>
  <si>
    <t>고독성
H301, H304, H311
경구LD50≤300mg/kg
경피LD50≤1000mg/kg</t>
    <phoneticPr fontId="1" type="noConversion"/>
  </si>
  <si>
    <t>극독성
H300, H310
경구LD50≤50mg/kg
경피LD50≤200mg/kg</t>
    <phoneticPr fontId="1" type="noConversion"/>
  </si>
  <si>
    <t>근거: GHS 경구독성 분류 + LD50 기준
▸ 주요 출처
  ① 환경부·고용노동부 공동 고시
     GHS 급성독성 경구 분류 기준
     H300(Cat.1~2): LD50≤50 mg/kg
     H301(Cat.3): 50~300 mg/kg
     H302(Cat.4): 300~2,000 mg/kg
     비분류(Cat.5): &gt;2,000 mg/kg
  ② UN GHS 제9개정판 Part 3.1
     경구·경피·흡입 독성 분류표
     (전 세계 동일 기준 적용)
  ③ OECD TG 401(폐기)/TG 420/425
     경구 급성독성 시험 표준 방법
▸ 점수 구간 설정 배경
  GHS LD50 경계값(&lt;5/5~50/50~300
  /300~2,000/&gt;2,000 mg/kg)을
  5~1점에 직접 매핑</t>
    <phoneticPr fontId="1" type="noConversion"/>
  </si>
  <si>
    <t>피부·눈 자극성 및 부식성</t>
  </si>
  <si>
    <t>1. Sec2 피부 H코드 H314~H317
2. Sec2 눈 H코드 H318~H320</t>
    <phoneticPr fontId="1" type="noConversion"/>
  </si>
  <si>
    <t>자극 없음
H314~H320 없음</t>
    <phoneticPr fontId="1" type="noConversion"/>
  </si>
  <si>
    <t>경미한 자극
H316 또는 H320</t>
    <phoneticPr fontId="1" type="noConversion"/>
  </si>
  <si>
    <t>자극성
H315, H17 또는 H319</t>
    <phoneticPr fontId="1" type="noConversion"/>
  </si>
  <si>
    <t>부식성·손상
H314 Cat1/1B 또는
H318</t>
    <phoneticPr fontId="1" type="noConversion"/>
  </si>
  <si>
    <t>심각한 부식
H314 Cat1A</t>
    <phoneticPr fontId="1" type="noConversion"/>
  </si>
  <si>
    <t>근거: GHS 피부·눈 분류 + 산업안전보건기준
▸ 주요 출처
  ① 환경부·고용노동부 공동 고시
     GHS 피부 부식성·자극성 분류
     H314 Cat.1A: pH≤2 또는 ≥11.5
     (피부 파괴 시간 3분 이내)
     H314 Cat.1: 1~4시간 내 부식
     H315 Cat.2: 가역적 자극
  ② 고용노동부 고시 제2023-9호
     「MSDS 작성에 관한 기준」
     H318 눈 심한 손상 Cat.1 기준
  ③ OECD TG 404(2015) 피부 자극
     TG 405(2012) 눈 자극 시험
▸ 점수 구간 설정 배경
  GHS 부식성·자극성 H코드 체계를
  그대로 적용(H314A→5점, H314→4점,
  H315/H319→3점 등)</t>
    <phoneticPr fontId="1" type="noConversion"/>
  </si>
  <si>
    <t>만성독성</t>
  </si>
  <si>
    <t>1. Sec2 H350~351
2. Sec11 IARC Group</t>
    <phoneticPr fontId="1" type="noConversion"/>
  </si>
  <si>
    <t xml:space="preserve">비발암성
</t>
    <phoneticPr fontId="1" type="noConversion"/>
  </si>
  <si>
    <t>불명확
IARC Gr.3</t>
    <phoneticPr fontId="1" type="noConversion"/>
  </si>
  <si>
    <t>발암 의심
H351
IARC Gr.2B</t>
    <phoneticPr fontId="1" type="noConversion"/>
  </si>
  <si>
    <t>발암 가능
H350 Cat1B
IARC Gr.2A</t>
    <phoneticPr fontId="1" type="noConversion"/>
  </si>
  <si>
    <t>확정 발암
H350 Cat1A
IARC Gr.1</t>
    <phoneticPr fontId="1" type="noConversion"/>
  </si>
  <si>
    <t>근거: IARC 발암성 분류 + 고용부 특별관리물질
▸ 주요 출처
  ① WHO 국제암연구소(IARC)
     발암성 분류 체계 (Monographs)
     Group 1: 인체 발암성 확인
     Group 2A: 발암 가능성 높음
     Group 2B: 발암 가능성 있음
     Group 3: 분류 불가
  ② 고용노동부 고시 제2023-9호
     산업안전보건법 시행규칙 별표
     특별관리물질 목록
     (IARC Group 1 이상 수준)
  ③ GHS H350(Cat.1A/1B)·H351(Cat.2)
     발암성 분류 기준
▸ 점수 구간 설정 배경
  IARC Group 1/2A/2B/3/4를
  GHS H350(Cat.1A/1B)·H351(Cat.2)과
  교차 검증하여 5단계로 매핑</t>
    <phoneticPr fontId="1" type="noConversion"/>
  </si>
  <si>
    <t>생식·발달독성</t>
  </si>
  <si>
    <t>1. Sec2 H360~H362</t>
    <phoneticPr fontId="1" type="noConversion"/>
  </si>
  <si>
    <t xml:space="preserve">없음
</t>
    <phoneticPr fontId="1" type="noConversion"/>
  </si>
  <si>
    <t>불명확
H362</t>
    <phoneticPr fontId="1" type="noConversion"/>
  </si>
  <si>
    <t>의심
H361</t>
    <phoneticPr fontId="1" type="noConversion"/>
  </si>
  <si>
    <t>가능성 높음
H360 Cat1B</t>
  </si>
  <si>
    <t>확정
H360 Cat1A</t>
  </si>
  <si>
    <t>근거: GHS 생식독성 분류 + 산업안전보건법
▸ 주요 출처
  ① 환경부·고용노동부 공동 고시
     GHS 생식독성 분류 기준
     H360 Cat.1A: 생식독성 확인
     H360 Cat.1B: 생식독성 추정
     H361 Cat.2: 생식독성 의심
  ② 고용노동부 고시 제2023-9호
     산업안전보건법 제125조
     CMR 물질 여성 근로자 보호 기준
  ③ OECD TG 414(2018)
     출생전 발달독성 시험 표준
▸ 점수 구간 설정 배경
  GHS 생식독성 H코드 Cat.1A/1B/2와
  '자료없음' 상태를 각각 5/4/3/2점으로
  매핑</t>
    <phoneticPr fontId="1" type="noConversion"/>
  </si>
  <si>
    <t>특정 장기 반복독성 및 호흡기 과민성</t>
    <phoneticPr fontId="1" type="noConversion"/>
  </si>
  <si>
    <t>1. Sec2 H370~373
2. Sec2 H334~336</t>
    <phoneticPr fontId="1" type="noConversion"/>
  </si>
  <si>
    <t>없음</t>
    <phoneticPr fontId="1" type="noConversion"/>
  </si>
  <si>
    <t>낮음
H373 또는 H336</t>
    <phoneticPr fontId="1" type="noConversion"/>
  </si>
  <si>
    <t>중등
H372 또는 H335</t>
    <phoneticPr fontId="1" type="noConversion"/>
  </si>
  <si>
    <t>높음
H371 또는 H334</t>
    <phoneticPr fontId="1" type="noConversion"/>
  </si>
  <si>
    <t>심각
H370</t>
    <phoneticPr fontId="1" type="noConversion"/>
  </si>
  <si>
    <t>근거: GHS STOT 분류 + KOSHA 직업병 기준
▸ 주요 출처
  ① 환경부·고용노동부 공동 고시
     GHS 특정표적장기독성(STOT)
     반복노출 분류 기준
     H372 Cat.1: 반복노출 장기 손상
     H373 Cat.2: 반복노출 손상 우려
  ② GHS H334 호흡기 과민성 기준
     (흡입 시 알레르기·천식 유발)
     직업성 천식 물질 판단 기준
  ③ KOSHA GUIDE H-44-2022
     직업성 호흡기 질환 예방 지침
     LOAEC 기반 STOT 위험 평가
▸ 점수 구간 설정 배경
  GHS H372/H373 코드를 기본 판단에
  사용하나, LOAEC 수치(SDS Sec11)를
  확인하여 인간이 최종 보정 필요</t>
    <phoneticPr fontId="1" type="noConversion"/>
  </si>
  <si>
    <t>생식세포 변이원성</t>
    <phoneticPr fontId="1" type="noConversion"/>
  </si>
  <si>
    <t>1. Sec2 340~341</t>
    <phoneticPr fontId="1" type="noConversion"/>
  </si>
  <si>
    <t>의심
H341</t>
    <phoneticPr fontId="1" type="noConversion"/>
  </si>
  <si>
    <t>가능성 높음
H340 Cat1B</t>
  </si>
  <si>
    <t>확정
H340 Cat1A</t>
    <phoneticPr fontId="1" type="noConversion"/>
  </si>
  <si>
    <t>근거: GHS 변이원성 분류 + 고용부 CMR 기준
▸ 주요 출처
  ① 환경부·고용노동부 공동 고시
     GHS 생식세포 변이원성 분류
     H340 Cat.1A: DNA 손상 확인
     H340 Cat.1B: DNA 손상 추정
     H341 Cat.2: DNA 손상 의심
  ② OECD 시험지침
     TG 471(세균 역돌연변이, Ames)
     TG 476(in vitro 염색체이상 시험)
     TG 474(in vivo 소핵 시험)
  ③ 산업안전보건법 시행규칙 별표
     CMR(발암·변이원·생식독성) 물질
     특별관리 대상 기준
▸ 점수 구간 설정 배경
  GHS 변이원성 Cat.1A/1B/Cat.2를
  5/4/3점, 자료없음→2점, 음성→1점으로
  매핑. 변이원성은 발암 전구 과정으로
  발암성과 연계하여 중요도 평가</t>
    <phoneticPr fontId="1" type="noConversion"/>
  </si>
  <si>
    <t>노출기준</t>
  </si>
  <si>
    <t>작업환경 노출기준</t>
    <phoneticPr fontId="1" type="noConversion"/>
  </si>
  <si>
    <t xml:space="preserve">1. Sec8 TWA mg/m³ 
2. Sec8 TWA ppm </t>
    <phoneticPr fontId="1" type="noConversion"/>
  </si>
  <si>
    <t>낮은 위험
TWA≥100mg/m³
≥50ppm</t>
    <phoneticPr fontId="1" type="noConversion"/>
  </si>
  <si>
    <t>보통
TWA 10~100mg/m³
5~50ppm</t>
  </si>
  <si>
    <t>중등
TWA 1~10mg/m³
0.5~5ppm</t>
  </si>
  <si>
    <t>고위험
TWA 0.1~1mg/m³
0.05~0.5ppm</t>
    <phoneticPr fontId="1" type="noConversion"/>
  </si>
  <si>
    <t xml:space="preserve">극고위험
TWA&lt;0.1mg/m³
&lt;0.05ppm
</t>
    <phoneticPr fontId="1" type="noConversion"/>
  </si>
  <si>
    <t>근거: 고용노동부 노출기준 고시 (가장 중요)
▸ 주요 출처
  ① 고용노동부 고시 제2023-43호
     「화학물질 및 물리적 인자의
     노출기준」 (산업안전보건법 제125조)
     — 국내 법적 노출기준의 근거
  ② ACGIH TLV-TWA
     (미국 산업위생전문가협의회)
     한국 노출기준 설정의 참고 기준
  ③ KOSHA GUIDE H-44-2022
     「작업환경측정 및 정도관리」
▸ TWA 점수 구간 설정 배경
  고용노동부 고시의 실제 물질별 TWA를
  분포 분석하여 5구간으로 설정:
  • &gt;100 mg/m³(1점): 저독성 용매류
    (아세톤 1,200, 에탄올 1,900 mg/m³)
  • 10~100 mg/m³(2점): 중등독성
    (톨루엔 188, 크실렌 434 mg/m³)
  • 1~10 mg/m³(3점): 고독성
    (벤젠 3.2, 포름알데히드 0.37 mg/m³)
  • 0.1~1 mg/m³(4점): 극고독성
    (황산 0.2, 염소 1.5 mg/m³)
  • &lt;0.1 mg/m³(5점): CMR 특별관리
    (6가크롬 0.01, 카드뮴 0.02 mg/m³)
  → 산업안전보건법 특별관리물질은
    대부분 5점 구간에 해당</t>
    <phoneticPr fontId="1" type="noConversion"/>
  </si>
  <si>
    <r>
      <rPr>
        <b/>
        <sz val="11"/>
        <rFont val="맑은 고딕"/>
        <family val="3"/>
        <charset val="129"/>
      </rPr>
      <t xml:space="preserve">  ② 고위험항목 가중치</t>
    </r>
    <r>
      <rPr>
        <sz val="11"/>
        <rFont val="맑은 고딕"/>
        <family val="3"/>
        <charset val="129"/>
      </rPr>
      <t xml:space="preserve">  </t>
    </r>
    <r>
      <rPr>
        <sz val="10"/>
        <rFont val="맑은 고딕"/>
        <family val="3"/>
        <charset val="129"/>
      </rPr>
      <t>(유해성 최고값 5점 : +2 / 4점 : +1점)</t>
    </r>
    <phoneticPr fontId="1" type="noConversion"/>
  </si>
  <si>
    <r>
      <t xml:space="preserve">  ③ 유해성 최종 점수  </t>
    </r>
    <r>
      <rPr>
        <sz val="10"/>
        <rFont val="맑은 고딕"/>
        <family val="3"/>
        <charset val="129"/>
      </rPr>
      <t>(①+②, 최대 40점)</t>
    </r>
    <phoneticPr fontId="1" type="noConversion"/>
  </si>
  <si>
    <r>
      <t xml:space="preserve">  ④ 유해성 등급 </t>
    </r>
    <r>
      <rPr>
        <sz val="10"/>
        <color theme="0"/>
        <rFont val="맑은 고딕"/>
        <family val="3"/>
        <charset val="129"/>
      </rPr>
      <t>(1~5등급)</t>
    </r>
    <phoneticPr fontId="1" type="noConversion"/>
  </si>
  <si>
    <r>
      <t xml:space="preserve">  1) ①~③ 가능성 평가항목별 </t>
    </r>
    <r>
      <rPr>
        <u/>
        <sz val="10"/>
        <color theme="1" tint="0.249977111117893"/>
        <rFont val="맑은 고딕"/>
        <family val="3"/>
        <charset val="129"/>
      </rPr>
      <t>해당사항(D열, 노란색 셀)을 입력</t>
    </r>
    <r>
      <rPr>
        <sz val="10"/>
        <color theme="1" tint="0.249977111117893"/>
        <rFont val="맑은 고딕"/>
        <family val="3"/>
        <charset val="129"/>
      </rPr>
      <t>하세요. (드롭박스 선택)
  2) 가능성 평가항목을 모두 입력한 후, 산정된 가능성 등급(28행, 1~5등급)을 확인하세요.</t>
    </r>
    <phoneticPr fontId="1" type="noConversion"/>
  </si>
  <si>
    <t>1점: 완전 자동화·밀폐  |  2점: 밀폐 공간에서 간헐적 취급  |  3점: 부분 개방 환경에서 주기적 취급  |  4점: 개방 환경에서 반복적 취급  |  5점: 개방 공정 1일 노출 4시간 이상</t>
    <phoneticPr fontId="1" type="noConversion"/>
  </si>
  <si>
    <r>
      <t xml:space="preserve">  ④ 가능성 점수 </t>
    </r>
    <r>
      <rPr>
        <sz val="10"/>
        <rFont val="맑은 고딕"/>
        <family val="3"/>
        <charset val="129"/>
      </rPr>
      <t xml:space="preserve"> (①+②+③, 최대 15점)</t>
    </r>
    <phoneticPr fontId="1" type="noConversion"/>
  </si>
  <si>
    <r>
      <t xml:space="preserve">  ⑤ 가능성 등급  </t>
    </r>
    <r>
      <rPr>
        <sz val="10"/>
        <color theme="0"/>
        <rFont val="맑은 고딕"/>
        <family val="3"/>
        <charset val="129"/>
      </rPr>
      <t>(1~5등급, 저감대책 적용 전)</t>
    </r>
    <phoneticPr fontId="1" type="noConversion"/>
  </si>
  <si>
    <r>
      <t xml:space="preserve">  가능성 점수 </t>
    </r>
    <r>
      <rPr>
        <sz val="10"/>
        <color theme="0"/>
        <rFont val="맑은 고딕"/>
        <family val="3"/>
        <charset val="129"/>
      </rPr>
      <t>(저감대책 적용 후)</t>
    </r>
    <phoneticPr fontId="1" type="noConversion"/>
  </si>
  <si>
    <r>
      <t xml:space="preserve">  가능성 등급  </t>
    </r>
    <r>
      <rPr>
        <sz val="10"/>
        <color theme="0"/>
        <rFont val="맑은 고딕"/>
        <family val="3"/>
        <charset val="129"/>
      </rPr>
      <t>(1~5등급, 저감대책 적용 후)</t>
    </r>
    <phoneticPr fontId="1" type="noConversion"/>
  </si>
  <si>
    <t>화학물질 위험성평가 - 종합결과</t>
    <phoneticPr fontId="1" type="noConversion"/>
  </si>
  <si>
    <t>평가유형</t>
    <phoneticPr fontId="1" type="noConversion"/>
  </si>
  <si>
    <t>평가일자</t>
    <phoneticPr fontId="1" type="noConversion"/>
  </si>
  <si>
    <t>평가부서</t>
    <phoneticPr fontId="1" type="noConversion"/>
  </si>
  <si>
    <t>평가자</t>
    <phoneticPr fontId="1" type="noConversion"/>
  </si>
  <si>
    <t xml:space="preserve">  ▶  평가 대상 화학물질 기본 정보</t>
    <phoneticPr fontId="1" type="noConversion"/>
  </si>
  <si>
    <t>주요 물질명</t>
    <phoneticPr fontId="1" type="noConversion"/>
  </si>
  <si>
    <t>주요 물질 CAS No.</t>
    <phoneticPr fontId="1" type="noConversion"/>
  </si>
  <si>
    <t xml:space="preserve">  ▶  위험성평가 결과 요약</t>
    <phoneticPr fontId="1" type="noConversion"/>
  </si>
  <si>
    <t>분야</t>
  </si>
  <si>
    <t>유해성 등급</t>
    <phoneticPr fontId="1" type="noConversion"/>
  </si>
  <si>
    <r>
      <t xml:space="preserve">가능성 등급
</t>
    </r>
    <r>
      <rPr>
        <sz val="8"/>
        <color theme="0"/>
        <rFont val="맑은 고딕"/>
        <family val="3"/>
        <charset val="129"/>
        <scheme val="major"/>
      </rPr>
      <t>(대책 적용 전)</t>
    </r>
    <phoneticPr fontId="1" type="noConversion"/>
  </si>
  <si>
    <r>
      <t xml:space="preserve">가능성 등급
</t>
    </r>
    <r>
      <rPr>
        <sz val="8"/>
        <color theme="0"/>
        <rFont val="맑은 고딕"/>
        <family val="3"/>
        <charset val="129"/>
        <scheme val="major"/>
      </rPr>
      <t>(대책 적용 후)</t>
    </r>
    <phoneticPr fontId="1" type="noConversion"/>
  </si>
  <si>
    <t>위험수준
/위험도</t>
    <phoneticPr fontId="1" type="noConversion"/>
  </si>
  <si>
    <r>
      <t xml:space="preserve">치명 항목 수
</t>
    </r>
    <r>
      <rPr>
        <sz val="9"/>
        <color theme="0"/>
        <rFont val="맑은 고딕"/>
        <family val="3"/>
        <charset val="129"/>
        <scheme val="major"/>
      </rPr>
      <t>(유해성 5점)</t>
    </r>
    <phoneticPr fontId="1" type="noConversion"/>
  </si>
  <si>
    <t>비고</t>
  </si>
  <si>
    <t>물리화학</t>
    <phoneticPr fontId="1" type="noConversion"/>
  </si>
  <si>
    <t>환경오염</t>
    <phoneticPr fontId="1" type="noConversion"/>
  </si>
  <si>
    <t>작업자 안전보건</t>
    <phoneticPr fontId="1" type="noConversion"/>
  </si>
  <si>
    <t>검토 결과</t>
    <phoneticPr fontId="1" type="noConversion"/>
  </si>
  <si>
    <t xml:space="preserve">  ▶ 적용 기준 — 1-3점: 도입 가능  |  4-8점: 도입 가능(추가 저감대책 검토 권장)  |  9-16점: 허용 불가  |  17-25점: 허용 불가 
                      치명항목(유해성 5점) 항목 1개 이상 있는 경우, 위험도 무관 SHE부서 검토자로 반영하여 결재 진행</t>
    <phoneticPr fontId="1" type="noConversion"/>
  </si>
  <si>
    <t xml:space="preserve">  ▶  적용 저감대책 및 이행계획</t>
    <phoneticPr fontId="1" type="noConversion"/>
  </si>
  <si>
    <t>분야</t>
    <phoneticPr fontId="1" type="noConversion"/>
  </si>
  <si>
    <t>위계</t>
    <phoneticPr fontId="1" type="noConversion"/>
  </si>
  <si>
    <t>저감대책</t>
    <phoneticPr fontId="1" type="noConversion"/>
  </si>
  <si>
    <t>담당자</t>
    <phoneticPr fontId="1" type="noConversion"/>
  </si>
  <si>
    <t>이행 상태</t>
  </si>
  <si>
    <t>완료예정일</t>
    <phoneticPr fontId="1" type="noConversion"/>
  </si>
  <si>
    <t>공학</t>
  </si>
  <si>
    <t>운영</t>
  </si>
  <si>
    <t>행정</t>
  </si>
  <si>
    <t>보호구</t>
    <phoneticPr fontId="1" type="noConversion"/>
  </si>
  <si>
    <t>작업자
안전보건</t>
    <phoneticPr fontId="1" type="noConversion"/>
  </si>
  <si>
    <t xml:space="preserve">  ▶  [결재] 검토/승인</t>
    <phoneticPr fontId="1" type="noConversion"/>
  </si>
  <si>
    <t>[기안] 평가자 의견</t>
    <phoneticPr fontId="1" type="noConversion"/>
  </si>
  <si>
    <t>[검토] 부서장 의견</t>
    <phoneticPr fontId="1" type="noConversion"/>
  </si>
  <si>
    <t>승인 일자</t>
    <phoneticPr fontId="1" type="noConversion"/>
  </si>
  <si>
    <t>고위험도 해당임에도 도입해야만 하는 경우 안전보건관리책임자 승인</t>
    <phoneticPr fontId="1" type="noConversion"/>
  </si>
  <si>
    <t>(서명)</t>
    <phoneticPr fontId="1" type="noConversion"/>
  </si>
  <si>
    <t>[승인] 안전보건관리책임자 의견</t>
    <phoneticPr fontId="1" type="noConversion"/>
  </si>
  <si>
    <t>화학물질 위험성 저감대책 DB</t>
    <phoneticPr fontId="1" type="noConversion"/>
  </si>
  <si>
    <t>물리화학적/환경오염/작업자 안전보건 위험성평가 시, 적용할 위험도 저감대책을 DB형태로 제시 (사용자 저감대책 추가 가능)</t>
    <phoneticPr fontId="1" type="noConversion"/>
  </si>
  <si>
    <r>
      <rPr>
        <b/>
        <u/>
        <sz val="9"/>
        <color theme="1" tint="0.249977111117893"/>
        <rFont val="Segoe UI Emoji"/>
        <family val="2"/>
      </rPr>
      <t>📌</t>
    </r>
    <r>
      <rPr>
        <b/>
        <u/>
        <sz val="9"/>
        <color theme="1" tint="0.249977111117893"/>
        <rFont val="맑은 고딕"/>
        <family val="3"/>
        <charset val="129"/>
        <scheme val="major"/>
      </rPr>
      <t xml:space="preserve"> 사용 안내</t>
    </r>
    <r>
      <rPr>
        <sz val="9"/>
        <color theme="1" tint="0.249977111117893"/>
        <rFont val="맑은 고딕"/>
        <family val="3"/>
        <charset val="129"/>
        <scheme val="major"/>
      </rPr>
      <t xml:space="preserve">
- </t>
    </r>
    <r>
      <rPr>
        <sz val="9"/>
        <color theme="1" tint="0.249977111117893"/>
        <rFont val="Segoe UI Symbol"/>
        <family val="3"/>
      </rPr>
      <t>②</t>
    </r>
    <r>
      <rPr>
        <sz val="9"/>
        <color theme="1" tint="0.249977111117893"/>
        <rFont val="맑은 고딕"/>
        <family val="3"/>
        <charset val="129"/>
        <scheme val="major"/>
      </rPr>
      <t xml:space="preserve"> </t>
    </r>
    <r>
      <rPr>
        <sz val="9"/>
        <color theme="1" tint="0.249977111117893"/>
        <rFont val="Segoe UI Symbol"/>
        <family val="3"/>
      </rPr>
      <t>③</t>
    </r>
    <r>
      <rPr>
        <sz val="9"/>
        <color theme="1" tint="0.249977111117893"/>
        <rFont val="맑은 고딕"/>
        <family val="3"/>
        <charset val="129"/>
        <scheme val="major"/>
      </rPr>
      <t xml:space="preserve"> </t>
    </r>
    <r>
      <rPr>
        <sz val="9"/>
        <color theme="1" tint="0.249977111117893"/>
        <rFont val="Segoe UI Symbol"/>
        <family val="3"/>
      </rPr>
      <t>④</t>
    </r>
    <r>
      <rPr>
        <sz val="9"/>
        <color theme="1" tint="0.249977111117893"/>
        <rFont val="맑은 고딕"/>
        <family val="3"/>
        <charset val="129"/>
        <scheme val="major"/>
      </rPr>
      <t xml:space="preserve"> 평가 시트의 저감대책 입력란에 적용할 저감대책의 'DB No.'(B열)를 입력하면 가능성 등급 감소량이 자동 적용됩니다.
- 제어 위계 (강한 순) : 공학적(가중치 100%) → 운영적(가중치 75%) → 행정적(가중치 50%) → 보호구(가중치 50%)
- 가능성 점수 감소치(E열) : -2~-3(원천 차단·밀폐류) / -1(부분 표준) / -0.5(보조·행정·보호구)
- 저감대책 DB List는 필요시 사업 </t>
    </r>
    <r>
      <rPr>
        <sz val="9"/>
        <color theme="1" tint="0.249977111117893"/>
        <rFont val="Calibri"/>
        <family val="3"/>
      </rPr>
      <t>SHE</t>
    </r>
    <r>
      <rPr>
        <sz val="9"/>
        <color theme="1" tint="0.249977111117893"/>
        <rFont val="맑은 고딕"/>
        <family val="3"/>
        <charset val="129"/>
        <scheme val="major"/>
      </rPr>
      <t>부서에서 추가하여 운영 가능합니다 (목록 최하단 행에 양식에 맞추어 입력)</t>
    </r>
    <phoneticPr fontId="1" type="noConversion"/>
  </si>
  <si>
    <t>제어
위계</t>
    <phoneticPr fontId="1" type="noConversion"/>
  </si>
  <si>
    <t>가능성 점수
감소</t>
    <phoneticPr fontId="1" type="noConversion"/>
  </si>
  <si>
    <t>대책 내용</t>
    <phoneticPr fontId="1" type="noConversion"/>
  </si>
  <si>
    <t xml:space="preserve">주요 노출경로/관련 평가항목 </t>
    <phoneticPr fontId="1" type="noConversion"/>
  </si>
  <si>
    <t>(참고) 전제조건 및 주의사항</t>
    <phoneticPr fontId="1" type="noConversion"/>
  </si>
  <si>
    <t>PC-E-01</t>
    <phoneticPr fontId="41" type="noConversion"/>
  </si>
  <si>
    <t>완전밀폐 자동화 시스템 (원격취급·로봇·자동공급)</t>
  </si>
  <si>
    <t>전 항목 — 노출 경로 자체 차단</t>
  </si>
  <si>
    <t>초기 투자비 큼, 유지보수 SOP 필요, 비상정지기능 확보</t>
    <phoneticPr fontId="1" type="noConversion"/>
  </si>
  <si>
    <t>PC-E-02</t>
  </si>
  <si>
    <t>부분 밀폐 시스템 (Glove box, Closed hood)</t>
  </si>
  <si>
    <t>전 항목 — 작업자 접근 차단</t>
  </si>
  <si>
    <t>작업자 접근 통제, 누출 모니터링 병행</t>
  </si>
  <si>
    <t>PC-E-03</t>
  </si>
  <si>
    <t>불활성가스(N₂/Ar) 봉입 저장·취급 시스템</t>
  </si>
  <si>
    <t>②자연발화, ⑤폭발·급분해 고위험 시 효과적</t>
  </si>
  <si>
    <t>산소농도 모니터링 필수, 질식위험 별도 관리</t>
  </si>
  <si>
    <t>PC-E-04</t>
  </si>
  <si>
    <t>방폭전기설비 설치 (Zone 0/1/2 분류 준수)</t>
  </si>
  <si>
    <t>⑦인화성, ⑧폭발성 고위험 시 효과적</t>
  </si>
  <si>
    <t>KGS·KOSHA 방폭지침 준수, 정기 점검</t>
  </si>
  <si>
    <t>PC-E-05</t>
  </si>
  <si>
    <t>자동 온도제어·냉장 보관 시스템</t>
  </si>
  <si>
    <t>②자연발화, ⑥저장 불안정 고위험 시 효과적</t>
  </si>
  <si>
    <t>온도 알람·기록 시스템, 정전 대비</t>
  </si>
  <si>
    <t>PC-E-06</t>
  </si>
  <si>
    <t>정전기 방지 (접지·본딩·전도성 바닥)</t>
  </si>
  <si>
    <t>⑦인화성, ⑧폭발성 보조 대책</t>
  </si>
  <si>
    <t>접지저항 정기측정</t>
    <phoneticPr fontId="1" type="noConversion"/>
  </si>
  <si>
    <t>PC-E-07</t>
  </si>
  <si>
    <t>화재감지·자동소화 시스템 (포·CO₂·하론대체제)</t>
  </si>
  <si>
    <t>소화약제 호환성, 작업자 대피 우선</t>
  </si>
  <si>
    <t>PC-E-08</t>
  </si>
  <si>
    <t>폭발방지 설계 (Rupture disc, PSV, 폭압방산구)</t>
  </si>
  <si>
    <t>⑤폭발·급분해, ⑧산화성 고위험 시 효과적</t>
  </si>
  <si>
    <t>설정압력 정기점검, 배출유로 안전 확보</t>
  </si>
  <si>
    <t>PC-E-09</t>
  </si>
  <si>
    <t>누액감지 센서 + 방류벽/방지턱(트렌치)</t>
    <phoneticPr fontId="1" type="noConversion"/>
  </si>
  <si>
    <t>전 항목 — 누액 사고 방지</t>
  </si>
  <si>
    <t>누액감지 센서 설치, 정기 압력시험</t>
  </si>
  <si>
    <t>PC-E-10</t>
  </si>
  <si>
    <t>자동 혼합 통제 인터록 (금기물질 자동 차단)</t>
  </si>
  <si>
    <t>③혼합 위험 반응성 고위험 시 효과적</t>
  </si>
  <si>
    <t>PLC 인터록 검증, 비상수동 차단 가능</t>
  </si>
  <si>
    <t>PC-E-11</t>
  </si>
  <si>
    <t>가스 감지기 + 비상 셧다운 (LEL/UEL 감지)</t>
    <phoneticPr fontId="1" type="noConversion"/>
  </si>
  <si>
    <t>④부산물, ⑦인화성 고위험 시 효과적</t>
  </si>
  <si>
    <t>25%LEL 경보, 50%LEL 셧다운 설정</t>
  </si>
  <si>
    <t>PC-E-12</t>
  </si>
  <si>
    <t>충격·마찰 방지 용기·운반 (탄성소재·완충재)</t>
  </si>
  <si>
    <t>⑤폭발·급분해 보조 대책</t>
  </si>
  <si>
    <t>운반로 평탄도 점검, 적재 높이 제한</t>
  </si>
  <si>
    <t>PC-O-01</t>
  </si>
  <si>
    <t>1회 취급량 최소화</t>
    <phoneticPr fontId="1" type="noConversion"/>
  </si>
  <si>
    <t>전 항목 — 노출량 자체 감소</t>
  </si>
  <si>
    <t>보관량·취급량 일일 기록</t>
  </si>
  <si>
    <t>PC-O-02</t>
  </si>
  <si>
    <t>1일 취급 시간·횟수 제한</t>
  </si>
  <si>
    <t>전 항목 — 노출 빈도 감소</t>
  </si>
  <si>
    <t>작업로그 관리, 누적시간 추적</t>
  </si>
  <si>
    <t>PC-O-03</t>
  </si>
  <si>
    <t>저온·저압 조건 운영 (반응성 억제)</t>
  </si>
  <si>
    <t>②자연발화, ⑤폭발 보조 대책</t>
  </si>
  <si>
    <t>공정온도·압력 모니터링</t>
  </si>
  <si>
    <t>PC-O-04</t>
  </si>
  <si>
    <t>호환물질 분리 보관 (산·염기·산화제·금수성)</t>
  </si>
  <si>
    <t>①물반응, ③혼합금기 고위험 시 효과적</t>
  </si>
  <si>
    <t>보관 매트릭스 게시, 라벨 색상 구분</t>
  </si>
  <si>
    <t>PC-O-05</t>
  </si>
  <si>
    <t>과산화물·중합억제제 정기점검 (분해도 측정)</t>
  </si>
  <si>
    <t>⑥저장 불안정 보조 대책</t>
  </si>
  <si>
    <t>농도·유효기간 기록, 정기 시험</t>
  </si>
  <si>
    <t>PC-O-06</t>
  </si>
  <si>
    <t>빈 용기 즉시 처리·환기 (잔류증기 제거)</t>
  </si>
  <si>
    <t>⑦인화성 보조 대책</t>
  </si>
  <si>
    <t>환기 후 폐기, 라벨 유지</t>
  </si>
  <si>
    <t>PC-O-07</t>
  </si>
  <si>
    <t>재고관리 (선입선출, 유효기간 준수)</t>
    <phoneticPr fontId="1" type="noConversion"/>
  </si>
  <si>
    <t>입고일 라벨, 유효기간 표시</t>
  </si>
  <si>
    <t>PC-A-01</t>
  </si>
  <si>
    <t>화기작업 허가제 (Hot Work Permit)</t>
  </si>
  <si>
    <t>작업 전 가스측정, 감시인 배치</t>
  </si>
  <si>
    <t>PC-A-02</t>
  </si>
  <si>
    <t>표준작업절차서(SOP) 수립·게시·준수</t>
  </si>
  <si>
    <t>전 항목 — 작업 표준화</t>
  </si>
  <si>
    <t>연 1회 이상 개정, 작업자 서명</t>
  </si>
  <si>
    <t>PC-A-03</t>
  </si>
  <si>
    <t>화학물질 안전보건교육 (MSDS·취급법)</t>
  </si>
  <si>
    <t>전 항목 — 작업자 인식 강화</t>
  </si>
  <si>
    <t>교육기록 유지</t>
    <phoneticPr fontId="1" type="noConversion"/>
  </si>
  <si>
    <t>PC-A-04</t>
  </si>
  <si>
    <t>비상대응 훈련 (누출·화재·폭발 시나리오)</t>
  </si>
  <si>
    <t>④부산물, ⑦인화성, ⑧폭발성</t>
  </si>
  <si>
    <t>반기 1회 이상 훈련, 평가·개선</t>
  </si>
  <si>
    <t>PC-A-05</t>
  </si>
  <si>
    <t>MSDS 게시·라벨링·H코드 표시</t>
  </si>
  <si>
    <t>전 항목 — 정보 가시화</t>
  </si>
  <si>
    <t>작업장 게시, 외국인 근로자 대응언어</t>
  </si>
  <si>
    <t>PC-A-06</t>
  </si>
  <si>
    <t>도급사·협력업체 안전관리 협의체 운영</t>
  </si>
  <si>
    <t>전 항목 — 다자간 안전 협의</t>
  </si>
  <si>
    <t>작업 전 합동점검, 위험성 공유</t>
  </si>
  <si>
    <t>PC-P-01</t>
  </si>
  <si>
    <t>보호구</t>
  </si>
  <si>
    <t>방염·방화복 + 안전화 + 보안경 (화재·열기 노출)</t>
  </si>
  <si>
    <t>KS인증, 적정 등급 선정, 손상시 즉시 교체</t>
  </si>
  <si>
    <t>PC-P-02</t>
  </si>
  <si>
    <t>화학용 장갑 (재질별: 니트릴·네오프렌·부틸)</t>
  </si>
  <si>
    <t>①물반응, ③혼합금기</t>
  </si>
  <si>
    <t>화학물질 호환성표 확인</t>
  </si>
  <si>
    <t>PC-P-03</t>
  </si>
  <si>
    <t>방폭 공구·정전기 방지 작업복</t>
  </si>
  <si>
    <t>⑦인화성, ⑧폭발성</t>
  </si>
  <si>
    <t>정기 점검, 손상시 즉시 교체</t>
  </si>
  <si>
    <t>EN-E-01</t>
  </si>
  <si>
    <t>환경</t>
    <phoneticPr fontId="1" type="noConversion"/>
  </si>
  <si>
    <t>폐쇄형 공정(Closed-loop) — 무방류 시스템</t>
  </si>
  <si>
    <t>전 항목 — 배출 자체 제거</t>
  </si>
  <si>
    <t>폐기물 자체 처리·재이용 검증</t>
  </si>
  <si>
    <t>EN-E-02</t>
  </si>
  <si>
    <t>폐수처리시설 (활성탄, 응집, 생물처리 등)</t>
    <phoneticPr fontId="1" type="noConversion"/>
  </si>
  <si>
    <t>①수생급성, ②수생만성 고위험 시 효과적</t>
  </si>
  <si>
    <t>배출허용기준 준수, TMS 연계</t>
  </si>
  <si>
    <t>EN-E-03</t>
  </si>
  <si>
    <t>VOC 회수·소각 시설 (RTO·RCO·활성탄흡착 등)</t>
    <phoneticPr fontId="1" type="noConversion"/>
  </si>
  <si>
    <t>⑧대기·VOC 고위험 시 효과적</t>
  </si>
  <si>
    <t>처리효율 95% 이상, 정기 효율측정</t>
  </si>
  <si>
    <t>EN-E-04</t>
  </si>
  <si>
    <t>대기오염방지시설 — 스크러버 등</t>
    <phoneticPr fontId="1" type="noConversion"/>
  </si>
  <si>
    <t>⑧대기 고위험 시 효과적</t>
  </si>
  <si>
    <t>압력손실·처리효율 모니터링</t>
  </si>
  <si>
    <t>EN-E-05</t>
  </si>
  <si>
    <t>방류조 + 누유 감지 시스템</t>
    <phoneticPr fontId="1" type="noConversion"/>
  </si>
  <si>
    <t>①수생급성, ④토양이동 고위험 시 효과적</t>
  </si>
  <si>
    <t>누액 감지 즉시 알람, 정기점검</t>
  </si>
  <si>
    <t>EN-E-06</t>
  </si>
  <si>
    <t>토양 보호 (콘크리트 방수바닥, 집수정)</t>
  </si>
  <si>
    <t>④토양이동, ⑤토양잔류 고위험 시 효과적</t>
  </si>
  <si>
    <t>균열 점검, 코팅 정기보수</t>
  </si>
  <si>
    <t>EN-E-07</t>
  </si>
  <si>
    <t>누출감지 시스템 + 비상차단밸브</t>
  </si>
  <si>
    <t>①수생급성, ④토양이동</t>
  </si>
  <si>
    <t>작동시험 분기 1회</t>
  </si>
  <si>
    <t>EN-E-08</t>
  </si>
  <si>
    <t>대기·수질 자동측정시스템(TMS)</t>
    <phoneticPr fontId="1" type="noConversion"/>
  </si>
  <si>
    <t>⑧대기 모니터링 보조</t>
  </si>
  <si>
    <t>환경부 등록·관제 연계</t>
  </si>
  <si>
    <t>EN-E-09</t>
  </si>
  <si>
    <t>우수·오폐수 분리 배수 시스템</t>
    <phoneticPr fontId="1" type="noConversion"/>
  </si>
  <si>
    <t>①수생급성, ②수생만성</t>
  </si>
  <si>
    <t>빗물 유입 차단, 별도 처리</t>
  </si>
  <si>
    <t>EN-E-10</t>
  </si>
  <si>
    <t>밀폐 펌프·이송 시스템 (Diaphragm·Magnetic-drive)</t>
  </si>
  <si>
    <t>①수생급성, ⑧대기</t>
  </si>
  <si>
    <t>패킹 누설 정기점검</t>
  </si>
  <si>
    <t>EN-E-11</t>
  </si>
  <si>
    <t>폐기물 보관시설 (지정폐기물 보관기준 준수)</t>
  </si>
  <si>
    <t>④토양이동, ⑤토양잔류</t>
  </si>
  <si>
    <t>보관기간 90일 이내, 라벨 부착</t>
  </si>
  <si>
    <t>EN-E-12</t>
  </si>
  <si>
    <t>환기 및 후드를 통한 대기 배출 최소화</t>
  </si>
  <si>
    <t>⑧대기 보조 대책</t>
  </si>
  <si>
    <t>후드 흡인풍속 적정 유지</t>
  </si>
  <si>
    <t>EN-E-13</t>
  </si>
  <si>
    <t>옥내 보관·옥내 작업 (옥외 풍화 방지)</t>
  </si>
  <si>
    <t>④토양이동, ⑤토양잔류, ⑧대기</t>
  </si>
  <si>
    <t>환기 보강, 화재 대비</t>
  </si>
  <si>
    <t>EN-E-14</t>
  </si>
  <si>
    <t>응급 누출 차단 시스템 (긴급차단밸브·Berm·둑)</t>
  </si>
  <si>
    <t>정기 작동시험, 표지</t>
  </si>
  <si>
    <t>EN-O-01</t>
  </si>
  <si>
    <t>폐기물 분리보관 → 적정 처리업체 위탁</t>
  </si>
  <si>
    <t>③분해성, ⑤토양잔류</t>
  </si>
  <si>
    <t>폐기물 인계서·전자인계서</t>
  </si>
  <si>
    <t>EN-O-02</t>
  </si>
  <si>
    <t>세척수·세정수 회수·재사용</t>
  </si>
  <si>
    <t>수질 모니터링, 재사용 한계 설정</t>
  </si>
  <si>
    <t>EN-O-03</t>
  </si>
  <si>
    <t>누출 시 즉시 대응 (Spill Kit·흡착포·중화제)</t>
  </si>
  <si>
    <t>Spill Kit 정기 점검·보충</t>
  </si>
  <si>
    <t>EN-O-04</t>
  </si>
  <si>
    <t>환경친화 세척제·중성 세제 사용</t>
  </si>
  <si>
    <t>MSDS 검토, 농도 최소화</t>
  </si>
  <si>
    <t>EN-O-05</t>
  </si>
  <si>
    <t>취급량 최소화·소분 사용</t>
  </si>
  <si>
    <t>전 항목 — 배출량 자체 감소</t>
  </si>
  <si>
    <t>소요량 산정 정확화</t>
  </si>
  <si>
    <t>EN-O-06</t>
  </si>
  <si>
    <t>작업 후 즉시 청소·잔류물 회수</t>
  </si>
  <si>
    <t>청소 체크리스트</t>
  </si>
  <si>
    <t>EN-O-07</t>
  </si>
  <si>
    <t>야간·우천 시 옥외작업 제한 (빗물 오염 방지)</t>
  </si>
  <si>
    <t>기상정보 확인, 작업중단 기준</t>
  </si>
  <si>
    <t>EN-A-01</t>
  </si>
  <si>
    <t>환경관리계획 수립 (배출허가·자가측정)</t>
    <phoneticPr fontId="1" type="noConversion"/>
  </si>
  <si>
    <t>전 항목 — 관리 체계 구축</t>
  </si>
  <si>
    <t>환경기술인 선임, 보고체계 구축</t>
  </si>
  <si>
    <t>EN-A-02</t>
  </si>
  <si>
    <t>환경교육 (화관법·PBT·VOC·폐기물)</t>
  </si>
  <si>
    <t>분기 1회 이상, 기록 유지</t>
  </si>
  <si>
    <t>EN-A-03</t>
  </si>
  <si>
    <t>비상누출 대응 매뉴얼·연락체계</t>
  </si>
  <si>
    <t>화학사고대응 매뉴얼 등록</t>
  </si>
  <si>
    <t>EN-A-04</t>
  </si>
  <si>
    <t>정기 환경 모니터링·자가측정</t>
    <phoneticPr fontId="1" type="noConversion"/>
  </si>
  <si>
    <t>전 항목 — 모니터링 체계</t>
  </si>
  <si>
    <t>분기/반기/연간 보고</t>
  </si>
  <si>
    <t>EN-A-05</t>
  </si>
  <si>
    <t>폐기물 최소화 계획 (감량·재이용·재활용)</t>
  </si>
  <si>
    <t>연도별 감량 목표 설정</t>
  </si>
  <si>
    <t>EN-A-06</t>
  </si>
  <si>
    <t>친환경 인증 추진 (ISO 14001·에코라벨)</t>
  </si>
  <si>
    <t>전 항목 — 시스템 인증</t>
  </si>
  <si>
    <t>외부 심사·인증 유지</t>
  </si>
  <si>
    <t>EN-A-07</t>
  </si>
  <si>
    <t>환경영향평가·사전 환경검토</t>
  </si>
  <si>
    <t>전 항목 — 사전 검토</t>
  </si>
  <si>
    <t>도입 단계 시 의무 검토</t>
  </si>
  <si>
    <t>OH-E-01</t>
  </si>
  <si>
    <t>작업자안전</t>
    <phoneticPr fontId="1" type="noConversion"/>
  </si>
  <si>
    <t>완전밀폐 자동화 시스템 (Glovebox·원격취급)</t>
  </si>
  <si>
    <t>전 항목 — 노출 경로 완전 차단</t>
  </si>
  <si>
    <t>음압 유지, 누출 모니터링</t>
  </si>
  <si>
    <t>OH-E-02</t>
  </si>
  <si>
    <t>국소배기장치(LEV) — 후드·덕트·송풍기</t>
  </si>
  <si>
    <t>①흡입독성, ⑦노출기준 고위험 시 효과적</t>
  </si>
  <si>
    <t>제어풍속 0.5m/s 이상, 반기 점검</t>
  </si>
  <si>
    <t>OH-E-03</t>
  </si>
  <si>
    <t>강제 일반환기 (충분한 환기율 확보)</t>
  </si>
  <si>
    <t>①흡입독성, ⑦노출기준</t>
  </si>
  <si>
    <t>ACH(환기횟수) 적정 유지</t>
  </si>
  <si>
    <t>OH-E-04</t>
  </si>
  <si>
    <t>글러브박스·격리룸·클린부스 (특별관리물질용)</t>
  </si>
  <si>
    <t>①흡입, ②경구·경피, ④발암, ⑧변이원</t>
  </si>
  <si>
    <t>음압 차압 유지, 필터 정기교체</t>
  </si>
  <si>
    <t>OH-E-05</t>
  </si>
  <si>
    <t>자동 충진·계량 시스템 (수작업 제거)</t>
  </si>
  <si>
    <t>①흡입, ②경구·경피, ③자극·부식</t>
  </si>
  <si>
    <t>인터록·비상정지 검증</t>
  </si>
  <si>
    <t>OH-E-06</t>
  </si>
  <si>
    <t>작업환경 실시간 모니터링 (가스검지기 등)</t>
    <phoneticPr fontId="1" type="noConversion"/>
  </si>
  <si>
    <t>⑦노출기준 모니터링 보조</t>
  </si>
  <si>
    <t>경보 설정, 데이터 기록</t>
  </si>
  <si>
    <t>OH-E-07</t>
  </si>
  <si>
    <t>비상 샤워·세안기 설치 (10초 이내 접근)</t>
  </si>
  <si>
    <t>③자극·부식 보조 대책</t>
  </si>
  <si>
    <t>매주 작동시험, 동결방지</t>
  </si>
  <si>
    <t>OH-E-08</t>
  </si>
  <si>
    <t>진공청소·습식청소 시스템 (분진 비산 방지)</t>
  </si>
  <si>
    <t>①흡입, ⑧변이원</t>
  </si>
  <si>
    <t>HEPA 필터 사용</t>
  </si>
  <si>
    <t>OH-E-09</t>
  </si>
  <si>
    <t>송기마스크 공급(Air-line) — 특수작업용</t>
  </si>
  <si>
    <t>①흡입, ④발암 고위험 시 효과적</t>
  </si>
  <si>
    <t>공급공기 청정도, 호흡량 관리</t>
  </si>
  <si>
    <t>OH-E-10</t>
  </si>
  <si>
    <t>자동 라벨링·바코드 시스템 (오취급 방지)</t>
  </si>
  <si>
    <t>전 항목 — 오취급 예방</t>
  </si>
  <si>
    <t>시스템 정기 점검</t>
  </si>
  <si>
    <t>OH-E-11</t>
  </si>
  <si>
    <t>차폐벽·차폐창 설치 (시각·튐 방지)</t>
  </si>
  <si>
    <t>③자극·부식</t>
  </si>
  <si>
    <t>내약품성 자재 사용</t>
  </si>
  <si>
    <t>OH-E-12</t>
  </si>
  <si>
    <t>실외 또는 환기 잘 되는 장소 작업 배치</t>
  </si>
  <si>
    <t>①흡입, ⑦노출기준</t>
  </si>
  <si>
    <t>기상조건 고려, 가시거리 확보</t>
  </si>
  <si>
    <t>OH-E-13</t>
  </si>
  <si>
    <t>작업장 출입통제·인터록 시스템</t>
  </si>
  <si>
    <t>전 항목 — 비취급자 노출 차단</t>
  </si>
  <si>
    <t>출입기록·ID카드</t>
  </si>
  <si>
    <t>OH-O-01</t>
  </si>
  <si>
    <t>작업환경측정 정기 실시 (반기 1회·특별관리물질)</t>
  </si>
  <si>
    <t>⑦노출기준 — 노출수준 정량 파악</t>
  </si>
  <si>
    <t>기록 30년 보존, 결과 게시</t>
  </si>
  <si>
    <t>OH-O-02</t>
  </si>
  <si>
    <t>1회 취급량 소분 (소량 다회 분할)</t>
  </si>
  <si>
    <t>①흡입, ②경구·경피, ⑦노출기준</t>
  </si>
  <si>
    <t>소분 절차 SOP, 보관용기 라벨</t>
  </si>
  <si>
    <t>OH-O-03</t>
  </si>
  <si>
    <t>노출시간 제한·작업 순환(Job rotation)</t>
  </si>
  <si>
    <t>④발암, ⑤생식, ⑦노출기준 — 누적 노출량 제한</t>
  </si>
  <si>
    <t>1인당 누적 노출 기록</t>
  </si>
  <si>
    <t>OH-O-04</t>
  </si>
  <si>
    <t>식음·흡연·화장 금지 구역 지정</t>
  </si>
  <si>
    <t>②경구·경피 — 경구 노출 방지</t>
  </si>
  <si>
    <t>표지·구획 명확, 위반 시 시정조치</t>
  </si>
  <si>
    <t>OH-O-05</t>
  </si>
  <si>
    <t>오염 작업복 분리세탁·격리 (가족 노출 차단)</t>
  </si>
  <si>
    <t>②경구·경피, ③자극, ④발암</t>
  </si>
  <si>
    <t>전용 세탁시설, 출퇴근 복장 분리</t>
  </si>
  <si>
    <t>OH-O-06</t>
  </si>
  <si>
    <t>작업 후 즉시 손·얼굴·신체 세척</t>
  </si>
  <si>
    <t>②경구·경피, ③자극</t>
  </si>
  <si>
    <t>세면시설, 비누·세정제 비치</t>
  </si>
  <si>
    <t>OH-O-07</t>
  </si>
  <si>
    <t>임산부·임신가능 여성 작업 제한 (생식독성 물질)</t>
  </si>
  <si>
    <t>⑤생식독성 고위험 시 필수</t>
  </si>
  <si>
    <t>모성보호 휴직, 작업전환</t>
  </si>
  <si>
    <t>OH-A-01</t>
  </si>
  <si>
    <t>특수건강진단 (배치전·정기·임시·수시)</t>
  </si>
  <si>
    <t>④발암, ⑤생식, ⑥STOT, ⑧변이원 — 건강영향 조기 발견</t>
  </si>
  <si>
    <t>건강관리수첩, 사후관리</t>
  </si>
  <si>
    <t>OH-A-02</t>
  </si>
  <si>
    <t>신규채용·작업변경 시 별도 교육</t>
  </si>
  <si>
    <t>OH-A-03</t>
  </si>
  <si>
    <t>작업허가서(Permit-to-work)</t>
    <phoneticPr fontId="1" type="noConversion"/>
  </si>
  <si>
    <t>④발암, ⑦노출기준 — 위험 작업 사전 통제</t>
  </si>
  <si>
    <t>작업 전 위험성평가·승인</t>
  </si>
  <si>
    <t>OH-A-04</t>
  </si>
  <si>
    <t>특별관리물질 등록·취급일지 작성</t>
  </si>
  <si>
    <t>④발암, ⑧변이원 — 관리체계 구축</t>
  </si>
  <si>
    <t>산업안전보건법 시행규칙 준수</t>
  </si>
  <si>
    <t>OH-A-05</t>
  </si>
  <si>
    <t>응급의료체계 구축 (해독제·비상연락·구급차)</t>
  </si>
  <si>
    <t>①흡입, ②경구·경피, ③자극 — 사고 시 대응</t>
  </si>
  <si>
    <t>의료기관 연계 협약</t>
  </si>
  <si>
    <t>OH-A-06</t>
  </si>
  <si>
    <t>위험성평가 실시 (정기:1년,2년 등, 수시:물질변경 시)</t>
    <phoneticPr fontId="1" type="noConversion"/>
  </si>
  <si>
    <t>전 항목 — 평가 갱신</t>
  </si>
  <si>
    <t>평가결과 근로자 공유</t>
  </si>
  <si>
    <t>OH-P-01</t>
  </si>
  <si>
    <t>호흡보호구 (방진·방독·송기 등 등급별)</t>
  </si>
  <si>
    <t>①흡입, ⑥STOT·호흡과민</t>
  </si>
  <si>
    <t>밀착시험(Fit test), 정기교체, 호환물질 확인</t>
  </si>
  <si>
    <t>OH-P-02</t>
  </si>
  <si>
    <t>화학보호복+화학장갑+보안경+안전화</t>
    <phoneticPr fontId="1" type="noConversion"/>
  </si>
  <si>
    <t>②경구·경피, ③자극·부식</t>
  </si>
  <si>
    <t>재질 호환성표 확인, 손상시 폐기</t>
  </si>
  <si>
    <t>■ 유해성 판단</t>
    <phoneticPr fontId="1" type="noConversion"/>
  </si>
  <si>
    <t>항목 No.</t>
    <phoneticPr fontId="1" type="noConversion"/>
  </si>
  <si>
    <t>항목명</t>
    <phoneticPr fontId="1" type="noConversion"/>
  </si>
  <si>
    <t>H-Code</t>
    <phoneticPr fontId="1" type="noConversion"/>
  </si>
  <si>
    <t>유해성 점수</t>
    <phoneticPr fontId="1" type="noConversion"/>
  </si>
  <si>
    <t>②-7</t>
    <phoneticPr fontId="1" type="noConversion"/>
  </si>
  <si>
    <t>H220</t>
    <phoneticPr fontId="1" type="noConversion"/>
  </si>
  <si>
    <t>극인화성 가스</t>
    <phoneticPr fontId="1" type="noConversion"/>
  </si>
  <si>
    <t>H222</t>
  </si>
  <si>
    <t>극인화성 에어로졸</t>
    <phoneticPr fontId="1" type="noConversion"/>
  </si>
  <si>
    <t>H224</t>
  </si>
  <si>
    <t>극인화성 액체 및 증기</t>
    <phoneticPr fontId="1" type="noConversion"/>
  </si>
  <si>
    <t>H221</t>
  </si>
  <si>
    <t>인화성 가스</t>
    <phoneticPr fontId="1" type="noConversion"/>
  </si>
  <si>
    <t>H223</t>
  </si>
  <si>
    <t>인화성 에어로졸</t>
    <phoneticPr fontId="1" type="noConversion"/>
  </si>
  <si>
    <t>H225</t>
  </si>
  <si>
    <t>고인화성 액체 및 증기</t>
    <phoneticPr fontId="1" type="noConversion"/>
  </si>
  <si>
    <t>H228</t>
  </si>
  <si>
    <t>인화성 고체</t>
    <phoneticPr fontId="1" type="noConversion"/>
  </si>
  <si>
    <t>H226</t>
  </si>
  <si>
    <t>인화성 액체 및 증기</t>
    <phoneticPr fontId="1" type="noConversion"/>
  </si>
  <si>
    <t>H227</t>
  </si>
  <si>
    <t>가연성 액체</t>
    <phoneticPr fontId="1" type="noConversion"/>
  </si>
  <si>
    <t>인화점 23℃ 미만, 끓는점 35℃ 이하</t>
    <phoneticPr fontId="1" type="noConversion"/>
  </si>
  <si>
    <t>인화점 23℃ 미만, 끓는점 35℃ 초과</t>
    <phoneticPr fontId="1" type="noConversion"/>
  </si>
  <si>
    <t>인화점 23℃ 이상 60℃ 미만</t>
    <phoneticPr fontId="1" type="noConversion"/>
  </si>
  <si>
    <t>인화점 60℃ 이상 93℃ 미만</t>
    <phoneticPr fontId="1" type="noConversion"/>
  </si>
  <si>
    <t>인화점 93℃ 이상</t>
    <phoneticPr fontId="1" type="noConversion"/>
  </si>
  <si>
    <t>인화점 없음</t>
    <phoneticPr fontId="1" type="noConversion"/>
  </si>
  <si>
    <t>②-5</t>
    <phoneticPr fontId="1" type="noConversion"/>
  </si>
  <si>
    <t>폭발·급분해 불안정성</t>
    <phoneticPr fontId="1" type="noConversion"/>
  </si>
  <si>
    <t>H200</t>
    <phoneticPr fontId="1" type="noConversion"/>
  </si>
  <si>
    <t>불안정한 폭발성 물질</t>
    <phoneticPr fontId="1" type="noConversion"/>
  </si>
  <si>
    <t>H201</t>
    <phoneticPr fontId="1" type="noConversion"/>
  </si>
  <si>
    <t>폭발성 물질; 대폭발 위험</t>
    <phoneticPr fontId="1" type="noConversion"/>
  </si>
  <si>
    <t>H202</t>
    <phoneticPr fontId="1" type="noConversion"/>
  </si>
  <si>
    <t>폭발성 물질; 심한 분출 위험</t>
    <phoneticPr fontId="1" type="noConversion"/>
  </si>
  <si>
    <t>H203</t>
    <phoneticPr fontId="1" type="noConversion"/>
  </si>
  <si>
    <t>폭발성 물질; 화재, 폭풍 또는 분출 위험</t>
    <phoneticPr fontId="1" type="noConversion"/>
  </si>
  <si>
    <t>H204</t>
    <phoneticPr fontId="1" type="noConversion"/>
  </si>
  <si>
    <t>화재 또는 분출 위험</t>
    <phoneticPr fontId="1" type="noConversion"/>
  </si>
  <si>
    <t>H205</t>
    <phoneticPr fontId="1" type="noConversion"/>
  </si>
  <si>
    <t>화재 시 대폭발 할 수 있음</t>
    <phoneticPr fontId="1" type="noConversion"/>
  </si>
  <si>
    <t>H206</t>
    <phoneticPr fontId="1" type="noConversion"/>
  </si>
  <si>
    <t>화재, 폭발 또는 비산 위험; 둔감제 감소 시 폭발 위험성 증가</t>
    <phoneticPr fontId="1" type="noConversion"/>
  </si>
  <si>
    <t>H240</t>
    <phoneticPr fontId="1" type="noConversion"/>
  </si>
  <si>
    <t>가열하면 폭발할 수 있음</t>
    <phoneticPr fontId="1" type="noConversion"/>
  </si>
  <si>
    <t>H207</t>
    <phoneticPr fontId="1" type="noConversion"/>
  </si>
  <si>
    <t>화재 또는 비산 위험; 둔감제 감소 시 폭발 위험성이 증가함</t>
    <phoneticPr fontId="1" type="noConversion"/>
  </si>
  <si>
    <t>H241</t>
  </si>
  <si>
    <t>가열하면 화재 또는 폭발할 수 있음</t>
    <phoneticPr fontId="1" type="noConversion"/>
  </si>
  <si>
    <t>H208</t>
    <phoneticPr fontId="1" type="noConversion"/>
  </si>
  <si>
    <t>H242</t>
  </si>
  <si>
    <t>가열하면 화재를 일으킬 수 있음</t>
    <phoneticPr fontId="1" type="noConversion"/>
  </si>
  <si>
    <t>분해온도 100℃ 미만</t>
    <phoneticPr fontId="1" type="noConversion"/>
  </si>
  <si>
    <t>분해온도 100℃ 이상 150℃ 미만</t>
    <phoneticPr fontId="1" type="noConversion"/>
  </si>
  <si>
    <t>분해온도 150℃ 이상 300℃ 미만</t>
    <phoneticPr fontId="1" type="noConversion"/>
  </si>
  <si>
    <t>분해온도 300℃ 이상</t>
    <phoneticPr fontId="1" type="noConversion"/>
  </si>
  <si>
    <t>분해온도 없음</t>
    <phoneticPr fontId="1" type="noConversion"/>
  </si>
  <si>
    <t>②-8</t>
    <phoneticPr fontId="1" type="noConversion"/>
  </si>
  <si>
    <t>H270</t>
    <phoneticPr fontId="1" type="noConversion"/>
  </si>
  <si>
    <t>산화성 가스</t>
    <phoneticPr fontId="1" type="noConversion"/>
  </si>
  <si>
    <t>H271</t>
  </si>
  <si>
    <t>산화성 액체/고체 Cat1</t>
    <phoneticPr fontId="1" type="noConversion"/>
  </si>
  <si>
    <t>H272</t>
  </si>
  <si>
    <t>산화제 Cat2,3</t>
    <phoneticPr fontId="1" type="noConversion"/>
  </si>
  <si>
    <t>②-1</t>
    <phoneticPr fontId="1" type="noConversion"/>
  </si>
  <si>
    <t>물·산·염기와의 접촉 반응성</t>
    <phoneticPr fontId="1" type="noConversion"/>
  </si>
  <si>
    <t>H260</t>
    <phoneticPr fontId="1" type="noConversion"/>
  </si>
  <si>
    <t>물과 접촉 시 자연발화성 가스 발생</t>
    <phoneticPr fontId="1" type="noConversion"/>
  </si>
  <si>
    <t>H261</t>
    <phoneticPr fontId="1" type="noConversion"/>
  </si>
  <si>
    <t>물과 접촉 시 인화성 가스 발생</t>
    <phoneticPr fontId="1" type="noConversion"/>
  </si>
  <si>
    <t>H290</t>
    <phoneticPr fontId="1" type="noConversion"/>
  </si>
  <si>
    <t>금속부식성 물질</t>
    <phoneticPr fontId="1" type="noConversion"/>
  </si>
  <si>
    <t>격렬반응(ΔT&gt;50°C): 심한 발열</t>
    <phoneticPr fontId="1" type="noConversion"/>
  </si>
  <si>
    <t>중등반응(ΔT10~50°C): 중간 발열</t>
    <phoneticPr fontId="1" type="noConversion"/>
  </si>
  <si>
    <t>미약반응(ΔT&lt;10°C): 약한 발열</t>
    <phoneticPr fontId="1" type="noConversion"/>
  </si>
  <si>
    <t>비반응 또는 내용 없음</t>
    <phoneticPr fontId="1" type="noConversion"/>
  </si>
  <si>
    <t>②-2</t>
    <phoneticPr fontId="1" type="noConversion"/>
  </si>
  <si>
    <t>공기·수분 반응·자연발화</t>
    <phoneticPr fontId="1" type="noConversion"/>
  </si>
  <si>
    <t>H250</t>
    <phoneticPr fontId="1" type="noConversion"/>
  </si>
  <si>
    <t>공기 노출 시 즉시 자연발화</t>
    <phoneticPr fontId="1" type="noConversion"/>
  </si>
  <si>
    <t>H251</t>
    <phoneticPr fontId="1" type="noConversion"/>
  </si>
  <si>
    <t>자기발열 — 대량 시 발화 가능 (Cat1)</t>
    <phoneticPr fontId="1" type="noConversion"/>
  </si>
  <si>
    <t>H252</t>
    <phoneticPr fontId="1" type="noConversion"/>
  </si>
  <si>
    <t>자기발열 — 대량 시 발화 가능 (Cat2)</t>
    <phoneticPr fontId="1" type="noConversion"/>
  </si>
  <si>
    <t xml:space="preserve">자연발화온도 54°C 미만 </t>
    <phoneticPr fontId="1" type="noConversion"/>
  </si>
  <si>
    <t>자연발화온도 54°C 이상~100°C 미만</t>
    <phoneticPr fontId="1" type="noConversion"/>
  </si>
  <si>
    <t>자연발화온도 100°C 이상~200°C 미만</t>
    <phoneticPr fontId="1" type="noConversion"/>
  </si>
  <si>
    <t>④-1</t>
    <phoneticPr fontId="1" type="noConversion"/>
  </si>
  <si>
    <t>흡입 독성</t>
    <phoneticPr fontId="1" type="noConversion"/>
  </si>
  <si>
    <t>H330</t>
    <phoneticPr fontId="1" type="noConversion"/>
  </si>
  <si>
    <t>흡입 급성독성 Cat 1·2</t>
    <phoneticPr fontId="1" type="noConversion"/>
  </si>
  <si>
    <t>H331</t>
    <phoneticPr fontId="1" type="noConversion"/>
  </si>
  <si>
    <t>흡입 급성독성 Cat 3</t>
    <phoneticPr fontId="1" type="noConversion"/>
  </si>
  <si>
    <t>H332</t>
    <phoneticPr fontId="1" type="noConversion"/>
  </si>
  <si>
    <t>흡입 급성독성 Cat 4</t>
    <phoneticPr fontId="1" type="noConversion"/>
  </si>
  <si>
    <t>H333</t>
    <phoneticPr fontId="1" type="noConversion"/>
  </si>
  <si>
    <t>흡입 급성독성 Cat 5</t>
    <phoneticPr fontId="1" type="noConversion"/>
  </si>
  <si>
    <t>흡입독성(증기) LC50 0.5 mg/L 이하</t>
    <phoneticPr fontId="1" type="noConversion"/>
  </si>
  <si>
    <t>흡입독성(증기) LC50 2.0 mg/L 이하</t>
    <phoneticPr fontId="1" type="noConversion"/>
  </si>
  <si>
    <t>흡입독성(증기) LC50 20 mg/L 이하</t>
    <phoneticPr fontId="1" type="noConversion"/>
  </si>
  <si>
    <t>흡입독성(증기) LC50 50 mg/L 이하</t>
    <phoneticPr fontId="1" type="noConversion"/>
  </si>
  <si>
    <t>흡입독성(증기) LC50 50 mg/L 초과</t>
    <phoneticPr fontId="1" type="noConversion"/>
  </si>
  <si>
    <t>흡입독성(분진/미스트) LC50 0.5 mg/L 이하</t>
    <phoneticPr fontId="1" type="noConversion"/>
  </si>
  <si>
    <t>흡입독성(분진/미스트) LC50 1.0 mg/L 이하</t>
    <phoneticPr fontId="1" type="noConversion"/>
  </si>
  <si>
    <t>흡입독성(분진/미스트) LC50 5.0 mg/L 이하</t>
    <phoneticPr fontId="1" type="noConversion"/>
  </si>
  <si>
    <t>흡입독성(분진/미스트) LC50 12.5 mg/L 이하</t>
    <phoneticPr fontId="1" type="noConversion"/>
  </si>
  <si>
    <t>흡입독성(분진/미스트) LC50 12.5 mg/L 초과</t>
    <phoneticPr fontId="1" type="noConversion"/>
  </si>
  <si>
    <t>④-2</t>
    <phoneticPr fontId="1" type="noConversion"/>
  </si>
  <si>
    <t>경구·경피 독성</t>
    <phoneticPr fontId="1" type="noConversion"/>
  </si>
  <si>
    <t>H300</t>
    <phoneticPr fontId="1" type="noConversion"/>
  </si>
  <si>
    <t>삼키면 치명 (Cat1~2)</t>
    <phoneticPr fontId="1" type="noConversion"/>
  </si>
  <si>
    <t>H310</t>
    <phoneticPr fontId="1" type="noConversion"/>
  </si>
  <si>
    <t>피부와 접촉하면 치명 (Cat1~2)</t>
    <phoneticPr fontId="1" type="noConversion"/>
  </si>
  <si>
    <t>H301</t>
    <phoneticPr fontId="1" type="noConversion"/>
  </si>
  <si>
    <t>삼키면 독성 (Cat3)</t>
    <phoneticPr fontId="1" type="noConversion"/>
  </si>
  <si>
    <t>H304</t>
    <phoneticPr fontId="1" type="noConversion"/>
  </si>
  <si>
    <t>삼켜서 기도로 유입되면 치명 (Cat1)</t>
    <phoneticPr fontId="1" type="noConversion"/>
  </si>
  <si>
    <t>H311</t>
    <phoneticPr fontId="1" type="noConversion"/>
  </si>
  <si>
    <t>피부와 접촉하면 독성 (Cat3)</t>
    <phoneticPr fontId="1" type="noConversion"/>
  </si>
  <si>
    <t>H305</t>
    <phoneticPr fontId="1" type="noConversion"/>
  </si>
  <si>
    <t>삼켜서 기도로 유입되면 유해 (Cat2)</t>
    <phoneticPr fontId="1" type="noConversion"/>
  </si>
  <si>
    <t>H302</t>
    <phoneticPr fontId="1" type="noConversion"/>
  </si>
  <si>
    <t>삼키면 유해 (Cat4)</t>
    <phoneticPr fontId="1" type="noConversion"/>
  </si>
  <si>
    <t>H312</t>
    <phoneticPr fontId="1" type="noConversion"/>
  </si>
  <si>
    <t>피부와 접촉하면 유해 (Cat4)</t>
    <phoneticPr fontId="1" type="noConversion"/>
  </si>
  <si>
    <t>경구독성 LD50 50 mg/kg 이하</t>
    <phoneticPr fontId="1" type="noConversion"/>
  </si>
  <si>
    <t>경구독성 LD50 300 mg/kg 이하</t>
    <phoneticPr fontId="1" type="noConversion"/>
  </si>
  <si>
    <t>경구독성 LD50 1000 mg/kg 이하</t>
    <phoneticPr fontId="1" type="noConversion"/>
  </si>
  <si>
    <t>경구독성 LD50 2,000 mg/kg 이하</t>
    <phoneticPr fontId="1" type="noConversion"/>
  </si>
  <si>
    <t>경구독성 LD50 2,000 mg/kg 초과</t>
    <phoneticPr fontId="1" type="noConversion"/>
  </si>
  <si>
    <t>경피독성 LD50 200 mg/kg 이하</t>
    <phoneticPr fontId="1" type="noConversion"/>
  </si>
  <si>
    <t>경피독성 LD50 1000 mg/kg 이하</t>
    <phoneticPr fontId="1" type="noConversion"/>
  </si>
  <si>
    <t>경피독성 LD50 1500 mg/kg 이하</t>
    <phoneticPr fontId="1" type="noConversion"/>
  </si>
  <si>
    <t>경피독성 LD50 2,000 mg/kg 이하</t>
    <phoneticPr fontId="1" type="noConversion"/>
  </si>
  <si>
    <t>경피독성 LD50 2,000 mg/kg 이상</t>
    <phoneticPr fontId="1" type="noConversion"/>
  </si>
  <si>
    <t>④-3</t>
    <phoneticPr fontId="1" type="noConversion"/>
  </si>
  <si>
    <t>피부/눈 자극성 및 부식성</t>
    <phoneticPr fontId="1" type="noConversion"/>
  </si>
  <si>
    <t xml:space="preserve">H314 Cat1A </t>
    <phoneticPr fontId="1" type="noConversion"/>
  </si>
  <si>
    <t>즉각 피부 부식</t>
    <phoneticPr fontId="1" type="noConversion"/>
  </si>
  <si>
    <t xml:space="preserve">H314 Cat1B </t>
    <phoneticPr fontId="1" type="noConversion"/>
  </si>
  <si>
    <t>4시간 내 피부 부식 (Cat1)</t>
    <phoneticPr fontId="1" type="noConversion"/>
  </si>
  <si>
    <t xml:space="preserve">H314 Cat1 </t>
    <phoneticPr fontId="1" type="noConversion"/>
  </si>
  <si>
    <t>H315</t>
    <phoneticPr fontId="1" type="noConversion"/>
  </si>
  <si>
    <t>피부 자극성 (Cat2)</t>
    <phoneticPr fontId="1" type="noConversion"/>
  </si>
  <si>
    <t>H317</t>
    <phoneticPr fontId="1" type="noConversion"/>
  </si>
  <si>
    <t>피부 과민성(감작성) (Cat1)</t>
    <phoneticPr fontId="1" type="noConversion"/>
  </si>
  <si>
    <t>H316</t>
    <phoneticPr fontId="1" type="noConversion"/>
  </si>
  <si>
    <t>경미한 피부 자극 (Cat3)</t>
    <phoneticPr fontId="1" type="noConversion"/>
  </si>
  <si>
    <t>H318</t>
    <phoneticPr fontId="1" type="noConversion"/>
  </si>
  <si>
    <t>비가역적 눈 손상 (Cat1)</t>
    <phoneticPr fontId="1" type="noConversion"/>
  </si>
  <si>
    <t>H319</t>
    <phoneticPr fontId="1" type="noConversion"/>
  </si>
  <si>
    <t>가역적 눈 자극 (Cat2)</t>
    <phoneticPr fontId="1" type="noConversion"/>
  </si>
  <si>
    <t>H320</t>
    <phoneticPr fontId="1" type="noConversion"/>
  </si>
  <si>
    <t>경미한 눈 자극 (Cat3)</t>
    <phoneticPr fontId="1" type="noConversion"/>
  </si>
  <si>
    <t>④-4</t>
    <phoneticPr fontId="1" type="noConversion"/>
  </si>
  <si>
    <t>H350 Cat1A</t>
    <phoneticPr fontId="1" type="noConversion"/>
  </si>
  <si>
    <t>발암성 확인 (IARC 1)</t>
    <phoneticPr fontId="1" type="noConversion"/>
  </si>
  <si>
    <t>H350 Cat1B</t>
    <phoneticPr fontId="1" type="noConversion"/>
  </si>
  <si>
    <t>발암성 추정</t>
    <phoneticPr fontId="1" type="noConversion"/>
  </si>
  <si>
    <t>H351</t>
    <phoneticPr fontId="1" type="noConversion"/>
  </si>
  <si>
    <t>발암성 의심 Cat2</t>
    <phoneticPr fontId="1" type="noConversion"/>
  </si>
  <si>
    <t>IARC Group1</t>
    <phoneticPr fontId="1" type="noConversion"/>
  </si>
  <si>
    <t>발암성 확인</t>
    <phoneticPr fontId="1" type="noConversion"/>
  </si>
  <si>
    <t>IARC Group2A</t>
    <phoneticPr fontId="1" type="noConversion"/>
  </si>
  <si>
    <t>발암성 가능성 높음</t>
    <phoneticPr fontId="1" type="noConversion"/>
  </si>
  <si>
    <t>IARC Group2B</t>
    <phoneticPr fontId="1" type="noConversion"/>
  </si>
  <si>
    <t>발암성 가능성 있음</t>
    <phoneticPr fontId="1" type="noConversion"/>
  </si>
  <si>
    <t>IARC Group3</t>
    <phoneticPr fontId="1" type="noConversion"/>
  </si>
  <si>
    <t>발암성 미분류(근거 불충분)</t>
    <phoneticPr fontId="1" type="noConversion"/>
  </si>
  <si>
    <t>④-5</t>
    <phoneticPr fontId="1" type="noConversion"/>
  </si>
  <si>
    <t>H360 Cat1A</t>
    <phoneticPr fontId="1" type="noConversion"/>
  </si>
  <si>
    <t>생식독성 확인</t>
    <phoneticPr fontId="1" type="noConversion"/>
  </si>
  <si>
    <t>H360 Cat1B</t>
    <phoneticPr fontId="1" type="noConversion"/>
  </si>
  <si>
    <t>생식독성 추정</t>
    <phoneticPr fontId="1" type="noConversion"/>
  </si>
  <si>
    <t>H361</t>
    <phoneticPr fontId="1" type="noConversion"/>
  </si>
  <si>
    <t>생식독성 의심</t>
    <phoneticPr fontId="1" type="noConversion"/>
  </si>
  <si>
    <t>H362</t>
    <phoneticPr fontId="1" type="noConversion"/>
  </si>
  <si>
    <t>수유독성</t>
    <phoneticPr fontId="1" type="noConversion"/>
  </si>
  <si>
    <t>④-6</t>
    <phoneticPr fontId="1" type="noConversion"/>
  </si>
  <si>
    <t>특정 장기 반복독성(STOT) 및 호흡기 과민성</t>
    <phoneticPr fontId="1" type="noConversion"/>
  </si>
  <si>
    <t>H370</t>
    <phoneticPr fontId="1" type="noConversion"/>
  </si>
  <si>
    <t>1회 노출 — 장기 손상 확인</t>
    <phoneticPr fontId="1" type="noConversion"/>
  </si>
  <si>
    <t>H371</t>
  </si>
  <si>
    <t>1회 노출 — 장기 손상 가능</t>
    <phoneticPr fontId="1" type="noConversion"/>
  </si>
  <si>
    <t>H372</t>
  </si>
  <si>
    <t>반복 노출 — 장기 손상 확인</t>
    <phoneticPr fontId="1" type="noConversion"/>
  </si>
  <si>
    <t>H373</t>
  </si>
  <si>
    <t>반복 노출 — 장기 손상 가능</t>
    <phoneticPr fontId="1" type="noConversion"/>
  </si>
  <si>
    <t>H334</t>
    <phoneticPr fontId="1" type="noConversion"/>
  </si>
  <si>
    <t>호흡기 과민성 Cat1</t>
    <phoneticPr fontId="1" type="noConversion"/>
  </si>
  <si>
    <t>H335</t>
  </si>
  <si>
    <t>호흡기 자극성</t>
    <phoneticPr fontId="1" type="noConversion"/>
  </si>
  <si>
    <t>H336</t>
  </si>
  <si>
    <t>마취성</t>
    <phoneticPr fontId="1" type="noConversion"/>
  </si>
  <si>
    <t>④-7</t>
    <phoneticPr fontId="1" type="noConversion"/>
  </si>
  <si>
    <t>H340 Cat1A</t>
    <phoneticPr fontId="1" type="noConversion"/>
  </si>
  <si>
    <t>변이원성 확인</t>
    <phoneticPr fontId="1" type="noConversion"/>
  </si>
  <si>
    <t>H340 Cat1B</t>
    <phoneticPr fontId="1" type="noConversion"/>
  </si>
  <si>
    <t>변이원성 추정</t>
    <phoneticPr fontId="1" type="noConversion"/>
  </si>
  <si>
    <t>H341</t>
    <phoneticPr fontId="1" type="noConversion"/>
  </si>
  <si>
    <t>변이원성 의심 (Cat2)</t>
    <phoneticPr fontId="1" type="noConversion"/>
  </si>
  <si>
    <t>④-8</t>
    <phoneticPr fontId="1" type="noConversion"/>
  </si>
  <si>
    <t>작업환경 노출기준 TWA</t>
    <phoneticPr fontId="1" type="noConversion"/>
  </si>
  <si>
    <t>TWA mg/m³ ＞ 180일</t>
    <phoneticPr fontId="1" type="noConversion"/>
  </si>
  <si>
    <t>TWA mg/m³ 60~180일</t>
    <phoneticPr fontId="1" type="noConversion"/>
  </si>
  <si>
    <t>TWA mg/m³ 28~60일</t>
    <phoneticPr fontId="1" type="noConversion"/>
  </si>
  <si>
    <t>TWA mg/m³ 10~28일</t>
    <phoneticPr fontId="1" type="noConversion"/>
  </si>
  <si>
    <t>TWA mg/m³ ≤ 10일</t>
    <phoneticPr fontId="1" type="noConversion"/>
  </si>
  <si>
    <t>TWA ppm  ＜ 5%</t>
    <phoneticPr fontId="1" type="noConversion"/>
  </si>
  <si>
    <t>TWA ppm 5~20%</t>
    <phoneticPr fontId="1" type="noConversion"/>
  </si>
  <si>
    <t>TWA ppm 20~40%</t>
    <phoneticPr fontId="1" type="noConversion"/>
  </si>
  <si>
    <t>TWA ppm 40~60%</t>
    <phoneticPr fontId="1" type="noConversion"/>
  </si>
  <si>
    <t>TWA ppm ≥ 60%</t>
    <phoneticPr fontId="1" type="noConversion"/>
  </si>
  <si>
    <t>③-1</t>
    <phoneticPr fontId="1" type="noConversion"/>
  </si>
  <si>
    <t>H400</t>
    <phoneticPr fontId="1" type="noConversion"/>
  </si>
  <si>
    <t>수생 급성독성 Cat1</t>
  </si>
  <si>
    <t>H401</t>
  </si>
  <si>
    <t>수생 급성독성 Cat2</t>
  </si>
  <si>
    <t>H402</t>
  </si>
  <si>
    <t>수생 급성독성 Cat3</t>
  </si>
  <si>
    <t>LC50/EC50 ≤1mg/L</t>
    <phoneticPr fontId="1" type="noConversion"/>
  </si>
  <si>
    <t>LC50/EC50 1 ~ 10 mg/L</t>
    <phoneticPr fontId="1" type="noConversion"/>
  </si>
  <si>
    <t>LC50/EC50 10 ~ 100 mg/L</t>
    <phoneticPr fontId="1" type="noConversion"/>
  </si>
  <si>
    <t>LC50/EC50 100 ~ 1000 mg/L</t>
    <phoneticPr fontId="1" type="noConversion"/>
  </si>
  <si>
    <t>LC50/EC50 &gt; 1000 mg/L</t>
    <phoneticPr fontId="1" type="noConversion"/>
  </si>
  <si>
    <t>③-2</t>
    <phoneticPr fontId="1" type="noConversion"/>
  </si>
  <si>
    <t>H410</t>
    <phoneticPr fontId="1" type="noConversion"/>
  </si>
  <si>
    <t>만성 수생독성 Cat1</t>
    <phoneticPr fontId="1" type="noConversion"/>
  </si>
  <si>
    <t>H411</t>
  </si>
  <si>
    <t>만성 수생독성 Cat2</t>
    <phoneticPr fontId="1" type="noConversion"/>
  </si>
  <si>
    <t>H412</t>
  </si>
  <si>
    <t>만성 수생독성 Cat3</t>
    <phoneticPr fontId="1" type="noConversion"/>
  </si>
  <si>
    <t>H413</t>
  </si>
  <si>
    <t>만성 수생독성 Cat4</t>
  </si>
  <si>
    <t>③-3</t>
    <phoneticPr fontId="1" type="noConversion"/>
  </si>
  <si>
    <t>DT50 ＞ 180일</t>
    <phoneticPr fontId="1" type="noConversion"/>
  </si>
  <si>
    <t>DT50 60~180일</t>
    <phoneticPr fontId="1" type="noConversion"/>
  </si>
  <si>
    <t>DT50 28~60일</t>
    <phoneticPr fontId="1" type="noConversion"/>
  </si>
  <si>
    <t>DT50 10~28일</t>
    <phoneticPr fontId="1" type="noConversion"/>
  </si>
  <si>
    <t>DT50 ≤ 10일</t>
    <phoneticPr fontId="1" type="noConversion"/>
  </si>
  <si>
    <t>생분해도 ＜ 5%</t>
    <phoneticPr fontId="1" type="noConversion"/>
  </si>
  <si>
    <t>생분해도 5~20%</t>
    <phoneticPr fontId="1" type="noConversion"/>
  </si>
  <si>
    <t>생분해도 20~40%</t>
    <phoneticPr fontId="1" type="noConversion"/>
  </si>
  <si>
    <t>생분해도 40~60%</t>
    <phoneticPr fontId="1" type="noConversion"/>
  </si>
  <si>
    <t>생분해도 ≥ 60%</t>
    <phoneticPr fontId="1" type="noConversion"/>
  </si>
  <si>
    <t>③-4</t>
    <phoneticPr fontId="1" type="noConversion"/>
  </si>
  <si>
    <t>Koc ＜ 50</t>
    <phoneticPr fontId="1" type="noConversion"/>
  </si>
  <si>
    <t>Koc 50~200</t>
    <phoneticPr fontId="1" type="noConversion"/>
  </si>
  <si>
    <t>Koc 200~1000</t>
    <phoneticPr fontId="1" type="noConversion"/>
  </si>
  <si>
    <t>Koc 1000~5000</t>
    <phoneticPr fontId="1" type="noConversion"/>
  </si>
  <si>
    <t>Koc ≥ 5000</t>
    <phoneticPr fontId="1" type="noConversion"/>
  </si>
  <si>
    <t>logKow ＜ 2</t>
    <phoneticPr fontId="1" type="noConversion"/>
  </si>
  <si>
    <t>logKow 2~2.7</t>
    <phoneticPr fontId="1" type="noConversion"/>
  </si>
  <si>
    <t>logKow 2.7~3.5</t>
    <phoneticPr fontId="1" type="noConversion"/>
  </si>
  <si>
    <t>logKow 3.5~4.5</t>
    <phoneticPr fontId="1" type="noConversion"/>
  </si>
  <si>
    <t>logKow ≥ 4.5</t>
    <phoneticPr fontId="1" type="noConversion"/>
  </si>
  <si>
    <t>③-5</t>
    <phoneticPr fontId="1" type="noConversion"/>
  </si>
  <si>
    <t>DT50 ＞ 365일</t>
    <phoneticPr fontId="1" type="noConversion"/>
  </si>
  <si>
    <t>DT50 180~365일</t>
    <phoneticPr fontId="1" type="noConversion"/>
  </si>
  <si>
    <t>DT50 120~180일</t>
    <phoneticPr fontId="1" type="noConversion"/>
  </si>
  <si>
    <t>DT50 60~120일</t>
    <phoneticPr fontId="1" type="noConversion"/>
  </si>
  <si>
    <t>DT50 ≤ 60일</t>
    <phoneticPr fontId="1" type="noConversion"/>
  </si>
  <si>
    <t>③-6</t>
    <phoneticPr fontId="1" type="noConversion"/>
  </si>
  <si>
    <t>REACH vPvB</t>
    <phoneticPr fontId="1" type="noConversion"/>
  </si>
  <si>
    <t>REACH PBT</t>
    <phoneticPr fontId="1" type="noConversion"/>
  </si>
  <si>
    <t>BCF≥5,000</t>
    <phoneticPr fontId="1" type="noConversion"/>
  </si>
  <si>
    <t>BCF 2,000~5,000</t>
    <phoneticPr fontId="1" type="noConversion"/>
  </si>
  <si>
    <t>BCF 500~2,000</t>
    <phoneticPr fontId="1" type="noConversion"/>
  </si>
  <si>
    <t>BCF 100~500</t>
    <phoneticPr fontId="1" type="noConversion"/>
  </si>
  <si>
    <t>BCF&lt;100</t>
    <phoneticPr fontId="1" type="noConversion"/>
  </si>
  <si>
    <t>logKow ≥5.2</t>
    <phoneticPr fontId="1" type="noConversion"/>
  </si>
  <si>
    <t>logKow 4.7~5.2</t>
    <phoneticPr fontId="1" type="noConversion"/>
  </si>
  <si>
    <t>logKow 4.0~4.7</t>
    <phoneticPr fontId="1" type="noConversion"/>
  </si>
  <si>
    <t>logKow 3.2~4.0</t>
    <phoneticPr fontId="1" type="noConversion"/>
  </si>
  <si>
    <t>logKow&lt;3.2</t>
    <phoneticPr fontId="1" type="noConversion"/>
  </si>
  <si>
    <t>③-7</t>
    <phoneticPr fontId="1" type="noConversion"/>
  </si>
  <si>
    <t>PBT기준 3가지 해당</t>
    <phoneticPr fontId="1" type="noConversion"/>
  </si>
  <si>
    <t>PBT 2가지 해당</t>
    <phoneticPr fontId="1" type="noConversion"/>
  </si>
  <si>
    <t>PBT 1가지 해당</t>
    <phoneticPr fontId="1" type="noConversion"/>
  </si>
  <si>
    <t>비해당 또는 없음</t>
    <phoneticPr fontId="1" type="noConversion"/>
  </si>
  <si>
    <t>③-8</t>
    <phoneticPr fontId="1" type="noConversion"/>
  </si>
  <si>
    <t>대기오염</t>
    <phoneticPr fontId="1" type="noConversion"/>
  </si>
  <si>
    <t>H420</t>
    <phoneticPr fontId="1" type="noConversion"/>
  </si>
  <si>
    <t>오존층 파괴 물질</t>
    <phoneticPr fontId="1" type="noConversion"/>
  </si>
  <si>
    <t>증기압 ≥ 100 mmHg</t>
    <phoneticPr fontId="1" type="noConversion"/>
  </si>
  <si>
    <t>증기압 10 ~ 100 mmHg</t>
    <phoneticPr fontId="1" type="noConversion"/>
  </si>
  <si>
    <t>증기압 1 ~ 10 mmHg</t>
    <phoneticPr fontId="1" type="noConversion"/>
  </si>
  <si>
    <t>■ 가능성 판단</t>
    <phoneticPr fontId="1" type="noConversion"/>
  </si>
  <si>
    <t>물리화학적</t>
    <phoneticPr fontId="1" type="noConversion"/>
  </si>
  <si>
    <t>취급 횟수</t>
    <phoneticPr fontId="1" type="noConversion"/>
  </si>
  <si>
    <t>1회 취급량</t>
    <phoneticPr fontId="1" type="noConversion"/>
  </si>
  <si>
    <t>취급 공정 환경</t>
    <phoneticPr fontId="1" type="noConversion"/>
  </si>
  <si>
    <t>점수</t>
    <phoneticPr fontId="1" type="noConversion"/>
  </si>
  <si>
    <t>F1 (매우 낮음)</t>
    <phoneticPr fontId="1" type="noConversion"/>
  </si>
  <si>
    <t>연 1-2회</t>
    <phoneticPr fontId="1" type="noConversion"/>
  </si>
  <si>
    <t>1회 취급량 1kg(L) 미만</t>
    <phoneticPr fontId="1" type="noConversion"/>
  </si>
  <si>
    <t>완전 밀폐 공정 내 취급 (직접 개봉 없음)</t>
    <phoneticPr fontId="1" type="noConversion"/>
  </si>
  <si>
    <t>F2 (낮음)</t>
    <phoneticPr fontId="1" type="noConversion"/>
  </si>
  <si>
    <t>연 3-11회</t>
    <phoneticPr fontId="1" type="noConversion"/>
  </si>
  <si>
    <t>1회 취급량 1-10kg(L)</t>
    <phoneticPr fontId="1" type="noConversion"/>
  </si>
  <si>
    <t>밀폐 공간 내 간헐적 계량·분주 작업 (환기 양호)</t>
    <phoneticPr fontId="1" type="noConversion"/>
  </si>
  <si>
    <t>F3 (보통)</t>
    <phoneticPr fontId="1" type="noConversion"/>
  </si>
  <si>
    <t>월 1회 이상</t>
    <phoneticPr fontId="1" type="noConversion"/>
  </si>
  <si>
    <t>1회 취급량 10-100kg(L)</t>
    <phoneticPr fontId="1" type="noConversion"/>
  </si>
  <si>
    <t>부분 개방 환경에서 주기적 취급·이송 (일반 옥내작업, 기본 환기)</t>
    <phoneticPr fontId="1" type="noConversion"/>
  </si>
  <si>
    <t>F4 (높음)</t>
    <phoneticPr fontId="1" type="noConversion"/>
  </si>
  <si>
    <t>주 1회 이상</t>
    <phoneticPr fontId="1" type="noConversion"/>
  </si>
  <si>
    <t>1회 취급량 100-1000kg(L)</t>
    <phoneticPr fontId="1" type="noConversion"/>
  </si>
  <si>
    <t>개방 환경·반응 설비에서 반복적 취급 작업</t>
    <phoneticPr fontId="1" type="noConversion"/>
  </si>
  <si>
    <t>F5 (매우 높음)</t>
    <phoneticPr fontId="1" type="noConversion"/>
  </si>
  <si>
    <t>매일 1회 이상</t>
    <phoneticPr fontId="1" type="noConversion"/>
  </si>
  <si>
    <t>1회 취급량 1000kg(L) 이상 또는 대량 상시 취급</t>
    <phoneticPr fontId="1" type="noConversion"/>
  </si>
  <si>
    <t>개방 공정에서 상시 반응·혼합·이송 작업 
또는 고온·고압·복합 위험 환경</t>
    <phoneticPr fontId="1" type="noConversion"/>
  </si>
  <si>
    <t>환경 접촉 가능성 (배출경로)</t>
    <phoneticPr fontId="1" type="noConversion"/>
  </si>
  <si>
    <t>밀폐 공정, 수계·토양·대기 배출 경로 없음</t>
    <phoneticPr fontId="1" type="noConversion"/>
  </si>
  <si>
    <t>사용 후 즉시 밀봉, 환경 접촉 가능성 낮음 (유사시 즉시 전량 회수 가능)</t>
    <phoneticPr fontId="1" type="noConversion"/>
  </si>
  <si>
    <t>주기적 사용, 소량 잔류·배출 또는 대기 휘발 가능 (유사시 외부 누출 가능성 有)</t>
    <phoneticPr fontId="1" type="noConversion"/>
  </si>
  <si>
    <t>반복적 사용, 수계·토양 접촉 또는 대기 배출 가능성 상당</t>
    <phoneticPr fontId="1" type="noConversion"/>
  </si>
  <si>
    <t>개방 공정, 수계·토양·대기 배출 경로 상시 존재</t>
    <phoneticPr fontId="1" type="noConversion"/>
  </si>
  <si>
    <t>완전 자동화·원격 조작 또는 완전 밀폐 공간 취급</t>
    <phoneticPr fontId="1" type="noConversion"/>
  </si>
  <si>
    <t>밀폐 공간·밀폐 용기에서 간헐적 취급, 직접 노출 낮음</t>
    <phoneticPr fontId="1" type="noConversion"/>
  </si>
  <si>
    <t>부분 개방 환경에서 주기적 취급, 1일 1-2시간 미만</t>
    <phoneticPr fontId="1" type="noConversion"/>
  </si>
  <si>
    <t>개방 환경에서 반복적 취급, 1일 노출 2-4시간</t>
    <phoneticPr fontId="1" type="noConversion"/>
  </si>
  <si>
    <t>개방 공정, 1일 직접 노출·취급 시간 4시간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</si>
</sst>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_);[Red]\(0.000\)"/>
    <numFmt numFmtId="178" formatCode="yyyy\-mm\-dd"/>
  </numFmts>
  <fonts count="1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0" tint="-4.9989318521683403E-2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theme="1" tint="0.249977111117893"/>
      <name val="맑은 고딕"/>
      <family val="3"/>
      <charset val="129"/>
      <scheme val="major"/>
    </font>
    <font>
      <b/>
      <sz val="9"/>
      <color theme="1" tint="0.249977111117893"/>
      <name val="맑은 고딕"/>
      <family val="3"/>
      <charset val="129"/>
      <scheme val="major"/>
    </font>
    <font>
      <b/>
      <u/>
      <sz val="9"/>
      <color theme="1" tint="0.249977111117893"/>
      <name val="맑은 고딕"/>
      <family val="3"/>
      <charset val="129"/>
      <scheme val="major"/>
    </font>
    <font>
      <sz val="11"/>
      <color theme="1" tint="0.24997711111789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1A1A1A"/>
      <name val="맑은 고딕"/>
      <family val="3"/>
      <charset val="129"/>
      <scheme val="major"/>
    </font>
    <font>
      <sz val="10"/>
      <color rgb="FF154360"/>
      <name val="맑은 고딕"/>
      <family val="3"/>
      <charset val="129"/>
      <scheme val="major"/>
    </font>
    <font>
      <i/>
      <sz val="9"/>
      <color rgb="FF717D7E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sz val="9"/>
      <color theme="1" tint="0.34998626667073579"/>
      <name val="맑은 고딕"/>
      <family val="3"/>
      <charset val="129"/>
      <scheme val="major"/>
    </font>
    <font>
      <sz val="9"/>
      <color rgb="FF1A1A1A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u/>
      <sz val="9"/>
      <color theme="1" tint="0.249977111117893"/>
      <name val="맑은 고딕"/>
      <family val="3"/>
      <charset val="129"/>
      <scheme val="major"/>
    </font>
    <font>
      <b/>
      <sz val="10"/>
      <color rgb="FF1A5276"/>
      <name val="맑은 고딕"/>
      <family val="3"/>
      <charset val="129"/>
      <scheme val="major"/>
    </font>
    <font>
      <b/>
      <sz val="10"/>
      <color rgb="FF154360"/>
      <name val="맑은 고딕"/>
      <family val="3"/>
      <charset val="129"/>
      <scheme val="major"/>
    </font>
    <font>
      <sz val="8"/>
      <color rgb="FF2C3E50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rgb="FF922B21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 tint="0.249977111117893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theme="3" tint="-0.249977111117893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u/>
      <sz val="10"/>
      <color rgb="FFFFFFFF"/>
      <name val="맑은 고딕"/>
      <family val="3"/>
      <charset val="129"/>
    </font>
    <font>
      <b/>
      <sz val="11"/>
      <color theme="3" tint="-0.249977111117893"/>
      <name val="맑은 고딕"/>
      <family val="3"/>
      <charset val="129"/>
    </font>
    <font>
      <sz val="11"/>
      <color theme="1"/>
      <name val="Calibri"/>
      <family val="2"/>
      <charset val="1"/>
    </font>
    <font>
      <sz val="9"/>
      <color rgb="FF566573"/>
      <name val="맑은 고딕"/>
      <family val="3"/>
      <charset val="129"/>
    </font>
    <font>
      <sz val="10"/>
      <color theme="3" tint="-0.249977111117893"/>
      <name val="맑은 고딕"/>
      <family val="3"/>
      <charset val="129"/>
    </font>
    <font>
      <sz val="11"/>
      <color theme="3" tint="-0.249977111117893"/>
      <name val="맑은 고딕"/>
      <family val="3"/>
      <charset val="129"/>
    </font>
    <font>
      <sz val="8"/>
      <name val="돋움"/>
      <family val="3"/>
      <charset val="129"/>
    </font>
    <font>
      <sz val="8"/>
      <color rgb="FF566573"/>
      <name val="맑은 고딕"/>
      <family val="3"/>
      <charset val="129"/>
    </font>
    <font>
      <b/>
      <u/>
      <sz val="11"/>
      <color theme="3" tint="-0.249977111117893"/>
      <name val="맑은 고딕"/>
      <family val="3"/>
      <charset val="129"/>
    </font>
    <font>
      <sz val="8"/>
      <color rgb="FF1B2631"/>
      <name val="맑은 고딕"/>
      <family val="3"/>
      <charset val="129"/>
    </font>
    <font>
      <sz val="10"/>
      <color theme="1" tint="0.249977111117893"/>
      <name val="맑은 고딕"/>
      <family val="3"/>
      <charset val="129"/>
    </font>
    <font>
      <u/>
      <sz val="10"/>
      <color theme="1" tint="0.249977111117893"/>
      <name val="맑은 고딕"/>
      <family val="3"/>
      <charset val="129"/>
    </font>
    <font>
      <b/>
      <sz val="10"/>
      <color theme="3" tint="-0.249977111117893"/>
      <name val="맑은 고딕"/>
      <family val="3"/>
      <charset val="129"/>
      <scheme val="major"/>
    </font>
    <font>
      <b/>
      <u/>
      <sz val="14"/>
      <color theme="3" tint="-0.249977111117893"/>
      <name val="맑은 고딕"/>
      <family val="3"/>
      <charset val="129"/>
      <scheme val="major"/>
    </font>
    <font>
      <sz val="8"/>
      <color theme="1" tint="0.249977111117893"/>
      <name val="맑은 고딕"/>
      <family val="3"/>
      <charset val="129"/>
    </font>
    <font>
      <b/>
      <u/>
      <sz val="12"/>
      <color theme="3" tint="-0.249977111117893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4"/>
      <color rgb="FFFFFFFF"/>
      <name val="맑은 고딕"/>
      <family val="3"/>
      <charset val="129"/>
      <scheme val="major"/>
    </font>
    <font>
      <sz val="9"/>
      <color rgb="FFBDC3C7"/>
      <name val="맑은 고딕"/>
      <family val="3"/>
      <charset val="129"/>
      <scheme val="major"/>
    </font>
    <font>
      <sz val="9"/>
      <color theme="0" tint="-4.9989318521683403E-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8"/>
      <color rgb="FF566573"/>
      <name val="맑은 고딕"/>
      <family val="3"/>
      <charset val="129"/>
      <scheme val="major"/>
    </font>
    <font>
      <b/>
      <sz val="10"/>
      <color rgb="FF7F8C8D"/>
      <name val="맑은 고딕"/>
      <family val="3"/>
      <charset val="129"/>
      <scheme val="major"/>
    </font>
    <font>
      <sz val="9"/>
      <color rgb="FF566573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sz val="10"/>
      <color theme="1" tint="0.249977111117893"/>
      <name val="맑은 고딕"/>
      <family val="3"/>
      <charset val="129"/>
      <scheme val="major"/>
    </font>
    <font>
      <u/>
      <sz val="10"/>
      <color theme="1" tint="0.249977111117893"/>
      <name val="맑은 고딕"/>
      <family val="3"/>
      <charset val="129"/>
      <scheme val="major"/>
    </font>
    <font>
      <b/>
      <u/>
      <sz val="10"/>
      <color rgb="FFFFFFFF"/>
      <name val="맑은 고딕"/>
      <family val="3"/>
      <charset val="129"/>
      <scheme val="major"/>
    </font>
    <font>
      <b/>
      <sz val="9"/>
      <color rgb="FF922B21"/>
      <name val="맑은 고딕"/>
      <family val="3"/>
      <charset val="129"/>
      <scheme val="major"/>
    </font>
    <font>
      <b/>
      <sz val="12"/>
      <color theme="3" tint="-0.249977111117893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color rgb="FF2C3E50"/>
      <name val="맑은 고딕"/>
      <family val="3"/>
      <charset val="129"/>
      <scheme val="major"/>
    </font>
    <font>
      <i/>
      <sz val="9"/>
      <color rgb="FF4A5568"/>
      <name val="맑은 고딕"/>
      <family val="3"/>
      <charset val="129"/>
      <scheme val="major"/>
    </font>
    <font>
      <sz val="11"/>
      <color theme="3" tint="-0.24997711111789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u/>
      <sz val="11"/>
      <color theme="3" tint="-0.249977111117893"/>
      <name val="맑은 고딕"/>
      <family val="3"/>
      <charset val="129"/>
      <scheme val="major"/>
    </font>
    <font>
      <sz val="11"/>
      <color theme="1" tint="0.499984740745262"/>
      <name val="맑은 고딕"/>
      <family val="3"/>
      <charset val="129"/>
      <scheme val="major"/>
    </font>
    <font>
      <sz val="10"/>
      <color theme="3" tint="-0.249977111117893"/>
      <name val="맑은 고딕"/>
      <family val="3"/>
      <charset val="129"/>
      <scheme val="major"/>
    </font>
    <font>
      <sz val="10"/>
      <color theme="1" tint="0.499984740745262"/>
      <name val="맑은 고딕"/>
      <family val="3"/>
      <charset val="129"/>
      <scheme val="major"/>
    </font>
    <font>
      <b/>
      <u/>
      <sz val="10"/>
      <color theme="1" tint="0.249977111117893"/>
      <name val="맑은 고딕"/>
      <family val="3"/>
      <charset val="129"/>
      <scheme val="major"/>
    </font>
    <font>
      <i/>
      <sz val="10"/>
      <color theme="1" tint="0.249977111117893"/>
      <name val="맑은 고딕"/>
      <family val="3"/>
      <charset val="129"/>
      <scheme val="major"/>
    </font>
    <font>
      <b/>
      <sz val="10"/>
      <color theme="1" tint="0.249977111117893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8"/>
      <color theme="1" tint="0.249977111117893"/>
      <name val="맑은 고딕"/>
      <family val="3"/>
      <charset val="129"/>
      <scheme val="major"/>
    </font>
    <font>
      <i/>
      <sz val="9"/>
      <color theme="1" tint="0.249977111117893"/>
      <name val="맑은 고딕"/>
      <family val="3"/>
      <charset val="129"/>
      <scheme val="major"/>
    </font>
    <font>
      <sz val="8"/>
      <color rgb="FF1B2631"/>
      <name val="맑은 고딕"/>
      <family val="3"/>
      <charset val="129"/>
      <scheme val="major"/>
    </font>
    <font>
      <b/>
      <u/>
      <sz val="12"/>
      <color theme="3" tint="-0.249977111117893"/>
      <name val="맑은 고딕"/>
      <family val="3"/>
      <charset val="129"/>
      <scheme val="major"/>
    </font>
    <font>
      <i/>
      <sz val="8"/>
      <color rgb="FF566573"/>
      <name val="맑은 고딕"/>
      <family val="3"/>
      <charset val="129"/>
      <scheme val="major"/>
    </font>
    <font>
      <b/>
      <sz val="11"/>
      <color rgb="FFFFFFFF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8"/>
      <color theme="0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b/>
      <sz val="12"/>
      <color rgb="FF1B4F72"/>
      <name val="맑은 고딕"/>
      <family val="3"/>
      <charset val="129"/>
      <scheme val="major"/>
    </font>
    <font>
      <b/>
      <sz val="11"/>
      <color rgb="FFC0392B"/>
      <name val="맑은 고딕"/>
      <family val="3"/>
      <charset val="129"/>
      <scheme val="major"/>
    </font>
    <font>
      <sz val="10"/>
      <color rgb="FF1B2631"/>
      <name val="맑은 고딕"/>
      <family val="3"/>
      <charset val="129"/>
      <scheme val="major"/>
    </font>
    <font>
      <b/>
      <sz val="10"/>
      <color rgb="FF1B263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 tint="0.499984740745262"/>
      <name val="맑은 고딕"/>
      <family val="3"/>
      <charset val="129"/>
    </font>
    <font>
      <sz val="10"/>
      <color theme="1" tint="0.499984740745262"/>
      <name val="맑은 고딕"/>
      <family val="3"/>
      <charset val="129"/>
    </font>
    <font>
      <b/>
      <u/>
      <sz val="14"/>
      <color theme="3" tint="-0.249977111117893"/>
      <name val="맑은 고딕"/>
      <family val="3"/>
      <charset val="129"/>
    </font>
    <font>
      <b/>
      <sz val="10"/>
      <color theme="3" tint="-0.249977111117893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i/>
      <sz val="9"/>
      <color theme="1" tint="0.249977111117893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0"/>
      <color theme="4" tint="-0.499984740745262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sz val="8"/>
      <color theme="0" tint="-4.9989318521683403E-2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  <scheme val="major"/>
    </font>
    <font>
      <sz val="8.5"/>
      <color rgb="FF1B263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i/>
      <sz val="12"/>
      <color rgb="FF4A5568"/>
      <name val="맑은 고딕"/>
      <family val="3"/>
      <charset val="129"/>
      <scheme val="major"/>
    </font>
    <font>
      <i/>
      <sz val="12"/>
      <color rgb="FF4A5568"/>
      <name val="맑은 고딕"/>
      <family val="3"/>
      <charset val="129"/>
    </font>
    <font>
      <sz val="8"/>
      <color rgb="FF1A1A1A"/>
      <name val="맑은 고딕"/>
      <family val="3"/>
      <charset val="129"/>
      <scheme val="major"/>
    </font>
    <font>
      <b/>
      <sz val="9"/>
      <color theme="1" tint="0.249977111117893"/>
      <name val="Segoe UI Emoji"/>
      <family val="2"/>
    </font>
    <font>
      <sz val="9"/>
      <color theme="1" tint="0.249977111117893"/>
      <name val="Segoe UI Symbol"/>
      <family val="3"/>
    </font>
    <font>
      <sz val="9"/>
      <color theme="1" tint="0.249977111117893"/>
      <name val="맑은 고딕"/>
      <family val="2"/>
      <charset val="129"/>
      <scheme val="major"/>
    </font>
    <font>
      <b/>
      <u/>
      <sz val="9"/>
      <color theme="1" tint="0.249977111117893"/>
      <name val="Segoe UI Emoji"/>
      <family val="2"/>
    </font>
    <font>
      <sz val="9"/>
      <color theme="1" tint="0.249977111117893"/>
      <name val="Calibri"/>
      <family val="3"/>
    </font>
    <font>
      <sz val="10"/>
      <color theme="0" tint="-0.34998626667073579"/>
      <name val="맑은 고딕"/>
      <family val="3"/>
      <charset val="129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F4F6F7"/>
      </patternFill>
    </fill>
    <fill>
      <patternFill patternType="solid">
        <fgColor rgb="FFEFF2F7"/>
      </patternFill>
    </fill>
    <fill>
      <patternFill patternType="solid">
        <fgColor rgb="FF1C2833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EF1C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DFEFE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theme="0" tint="-0.14999847407452621"/>
        <bgColor rgb="FF154360"/>
      </patternFill>
    </fill>
    <fill>
      <patternFill patternType="solid">
        <fgColor theme="0" tint="-0.14999847407452621"/>
        <bgColor rgb="FFEBEDED"/>
      </patternFill>
    </fill>
    <fill>
      <patternFill patternType="darkGray">
        <fgColor rgb="FFD6EFF7"/>
        <bgColor rgb="FFE8E8EB"/>
      </patternFill>
    </fill>
    <fill>
      <patternFill patternType="solid">
        <fgColor theme="6" tint="0.79998168889431442"/>
        <bgColor rgb="FFFDEBD0"/>
      </patternFill>
    </fill>
    <fill>
      <patternFill patternType="solid">
        <fgColor theme="0" tint="-0.14999847407452621"/>
        <bgColor rgb="FF526070"/>
      </patternFill>
    </fill>
    <fill>
      <patternFill patternType="solid">
        <fgColor rgb="FFD23B2D"/>
        <bgColor rgb="FFBA4A00"/>
      </patternFill>
    </fill>
    <fill>
      <patternFill patternType="solid">
        <fgColor rgb="FFC1950B"/>
        <bgColor rgb="FF997408"/>
      </patternFill>
    </fill>
    <fill>
      <patternFill patternType="solid">
        <fgColor rgb="FFFDF3CF"/>
        <bgColor rgb="FFFFF3CD"/>
      </patternFill>
    </fill>
    <fill>
      <patternFill patternType="solid">
        <fgColor rgb="FFEAEDED"/>
        <bgColor rgb="FFEBEDED"/>
      </patternFill>
    </fill>
    <fill>
      <patternFill patternType="solid">
        <fgColor rgb="FF2E4053"/>
        <bgColor rgb="FF154360"/>
      </patternFill>
    </fill>
    <fill>
      <patternFill patternType="solid">
        <fgColor rgb="FF5D6D7E"/>
        <bgColor rgb="FF526070"/>
      </patternFill>
    </fill>
    <fill>
      <patternFill patternType="solid">
        <fgColor rgb="FFD6EAF8"/>
        <bgColor rgb="FFDBEFF4"/>
      </patternFill>
    </fill>
    <fill>
      <patternFill patternType="solid">
        <fgColor rgb="FFFFFFCC"/>
        <bgColor rgb="FFFDF3CF"/>
      </patternFill>
    </fill>
    <fill>
      <patternFill patternType="solid">
        <fgColor theme="2"/>
        <bgColor rgb="FFFEFAEC"/>
      </patternFill>
    </fill>
    <fill>
      <patternFill patternType="solid">
        <fgColor rgb="FFFFFFCC"/>
        <bgColor rgb="FFEBEDED"/>
      </patternFill>
    </fill>
    <fill>
      <patternFill patternType="solid">
        <fgColor rgb="FFFFFFCC"/>
        <bgColor rgb="FFFDFEFE"/>
      </patternFill>
    </fill>
  </fills>
  <borders count="29">
    <border>
      <left/>
      <right/>
      <top/>
      <bottom/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rgb="FFAEB6BF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B6BF"/>
      </left>
      <right/>
      <top style="thin">
        <color rgb="FFAEB6BF"/>
      </top>
      <bottom/>
      <diagonal/>
    </border>
  </borders>
  <cellStyleXfs count="2">
    <xf numFmtId="0" fontId="0" fillId="0" borderId="0"/>
    <xf numFmtId="0" fontId="37" fillId="0" borderId="2"/>
  </cellStyleXfs>
  <cellXfs count="338">
    <xf numFmtId="0" fontId="0" fillId="0" borderId="0" xfId="0"/>
    <xf numFmtId="0" fontId="4" fillId="0" borderId="0" xfId="0" applyFont="1"/>
    <xf numFmtId="0" fontId="4" fillId="0" borderId="2" xfId="0" applyFont="1" applyBorder="1"/>
    <xf numFmtId="0" fontId="11" fillId="0" borderId="2" xfId="0" applyFont="1" applyBorder="1"/>
    <xf numFmtId="0" fontId="11" fillId="0" borderId="0" xfId="0" applyFont="1"/>
    <xf numFmtId="0" fontId="12" fillId="7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3" fillId="0" borderId="8" xfId="0" applyFont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left" vertical="center" wrapText="1"/>
    </xf>
    <xf numFmtId="0" fontId="20" fillId="0" borderId="0" xfId="0" applyFont="1"/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wrapText="1"/>
    </xf>
    <xf numFmtId="0" fontId="7" fillId="0" borderId="3" xfId="0" applyFont="1" applyBorder="1" applyAlignment="1">
      <alignment horizontal="left" vertical="top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vertical="top" wrapText="1"/>
    </xf>
    <xf numFmtId="0" fontId="22" fillId="9" borderId="3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17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top" wrapText="1"/>
    </xf>
    <xf numFmtId="0" fontId="25" fillId="0" borderId="12" xfId="0" applyFont="1" applyBorder="1" applyAlignment="1">
      <alignment horizontal="left" vertical="top" wrapText="1"/>
    </xf>
    <xf numFmtId="0" fontId="17" fillId="11" borderId="11" xfId="0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0" fontId="39" fillId="9" borderId="11" xfId="0" applyFont="1" applyFill="1" applyBorder="1" applyAlignment="1">
      <alignment vertical="center" wrapText="1"/>
    </xf>
    <xf numFmtId="0" fontId="39" fillId="9" borderId="11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7" fillId="16" borderId="12" xfId="0" applyFont="1" applyFill="1" applyBorder="1" applyAlignment="1">
      <alignment horizontal="center" vertical="center" wrapText="1"/>
    </xf>
    <xf numFmtId="0" fontId="17" fillId="16" borderId="11" xfId="0" applyFont="1" applyFill="1" applyBorder="1" applyAlignment="1">
      <alignment horizontal="center" vertical="center" wrapText="1"/>
    </xf>
    <xf numFmtId="0" fontId="45" fillId="0" borderId="2" xfId="0" quotePrefix="1" applyFont="1" applyBorder="1" applyAlignment="1">
      <alignment horizontal="left" vertical="center" wrapText="1"/>
    </xf>
    <xf numFmtId="0" fontId="27" fillId="12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19" borderId="11" xfId="0" applyFont="1" applyFill="1" applyBorder="1" applyAlignment="1">
      <alignment horizontal="center" vertical="center" shrinkToFit="1"/>
    </xf>
    <xf numFmtId="0" fontId="27" fillId="12" borderId="11" xfId="0" applyFont="1" applyFill="1" applyBorder="1" applyAlignment="1">
      <alignment horizontal="left" vertical="center" shrinkToFit="1"/>
    </xf>
    <xf numFmtId="0" fontId="27" fillId="18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left" vertical="center" shrinkToFit="1"/>
    </xf>
    <xf numFmtId="0" fontId="49" fillId="0" borderId="12" xfId="0" applyFont="1" applyBorder="1" applyAlignment="1">
      <alignment horizontal="left" vertical="top" wrapText="1"/>
    </xf>
    <xf numFmtId="1" fontId="17" fillId="12" borderId="22" xfId="0" applyNumberFormat="1" applyFont="1" applyFill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wrapText="1"/>
    </xf>
    <xf numFmtId="1" fontId="32" fillId="9" borderId="2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vertical="center" wrapText="1"/>
    </xf>
    <xf numFmtId="0" fontId="44" fillId="0" borderId="2" xfId="0" applyFont="1" applyBorder="1" applyAlignment="1">
      <alignment vertical="center" wrapText="1"/>
    </xf>
    <xf numFmtId="0" fontId="49" fillId="0" borderId="11" xfId="0" applyFont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top" wrapText="1"/>
    </xf>
    <xf numFmtId="0" fontId="14" fillId="8" borderId="3" xfId="0" applyFont="1" applyFill="1" applyBorder="1" applyAlignment="1">
      <alignment horizontal="left" vertical="top" wrapText="1"/>
    </xf>
    <xf numFmtId="177" fontId="22" fillId="9" borderId="3" xfId="0" applyNumberFormat="1" applyFont="1" applyFill="1" applyBorder="1" applyAlignment="1">
      <alignment horizontal="center" vertical="center" wrapText="1"/>
    </xf>
    <xf numFmtId="0" fontId="29" fillId="0" borderId="9" xfId="0" applyFont="1" applyBorder="1" applyAlignment="1">
      <alignment vertical="top" wrapText="1"/>
    </xf>
    <xf numFmtId="0" fontId="29" fillId="0" borderId="3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center" vertical="top" wrapText="1"/>
    </xf>
    <xf numFmtId="0" fontId="4" fillId="0" borderId="2" xfId="1" applyFont="1"/>
    <xf numFmtId="0" fontId="11" fillId="0" borderId="2" xfId="1" applyFont="1"/>
    <xf numFmtId="0" fontId="58" fillId="0" borderId="2" xfId="1" applyFont="1"/>
    <xf numFmtId="0" fontId="59" fillId="0" borderId="2" xfId="1" applyFont="1" applyAlignment="1">
      <alignment horizontal="center" vertical="center"/>
    </xf>
    <xf numFmtId="0" fontId="13" fillId="11" borderId="11" xfId="0" applyFont="1" applyFill="1" applyBorder="1" applyAlignment="1">
      <alignment horizontal="center" vertical="center" wrapText="1"/>
    </xf>
    <xf numFmtId="0" fontId="60" fillId="13" borderId="1" xfId="1" applyFont="1" applyFill="1" applyBorder="1" applyAlignment="1">
      <alignment horizontal="center" vertical="center" wrapText="1"/>
    </xf>
    <xf numFmtId="0" fontId="61" fillId="13" borderId="1" xfId="1" applyFont="1" applyFill="1" applyBorder="1" applyAlignment="1">
      <alignment horizontal="center" vertical="center" wrapText="1"/>
    </xf>
    <xf numFmtId="0" fontId="60" fillId="0" borderId="1" xfId="1" applyFont="1" applyBorder="1" applyAlignment="1">
      <alignment horizontal="center" vertical="center" wrapText="1"/>
    </xf>
    <xf numFmtId="176" fontId="12" fillId="21" borderId="1" xfId="0" applyNumberFormat="1" applyFont="1" applyFill="1" applyBorder="1" applyAlignment="1">
      <alignment horizontal="center" vertical="center" wrapText="1"/>
    </xf>
    <xf numFmtId="0" fontId="61" fillId="0" borderId="1" xfId="1" applyFont="1" applyBorder="1" applyAlignment="1">
      <alignment horizontal="left" vertical="center" wrapText="1"/>
    </xf>
    <xf numFmtId="176" fontId="12" fillId="22" borderId="1" xfId="0" applyNumberFormat="1" applyFont="1" applyFill="1" applyBorder="1" applyAlignment="1">
      <alignment horizontal="center" vertical="center" wrapText="1"/>
    </xf>
    <xf numFmtId="176" fontId="63" fillId="23" borderId="1" xfId="0" applyNumberFormat="1" applyFont="1" applyFill="1" applyBorder="1" applyAlignment="1">
      <alignment horizontal="center" vertical="center" wrapText="1"/>
    </xf>
    <xf numFmtId="0" fontId="60" fillId="14" borderId="1" xfId="1" applyFont="1" applyFill="1" applyBorder="1" applyAlignment="1">
      <alignment horizontal="center" vertical="center" wrapText="1"/>
    </xf>
    <xf numFmtId="0" fontId="61" fillId="14" borderId="1" xfId="1" applyFont="1" applyFill="1" applyBorder="1" applyAlignment="1">
      <alignment horizontal="center" vertical="center" wrapText="1"/>
    </xf>
    <xf numFmtId="0" fontId="60" fillId="15" borderId="1" xfId="1" applyFont="1" applyFill="1" applyBorder="1" applyAlignment="1">
      <alignment horizontal="center" vertical="center" wrapText="1"/>
    </xf>
    <xf numFmtId="0" fontId="61" fillId="15" borderId="1" xfId="1" applyFont="1" applyFill="1" applyBorder="1" applyAlignment="1">
      <alignment horizontal="center" vertical="center" wrapText="1"/>
    </xf>
    <xf numFmtId="0" fontId="64" fillId="0" borderId="1" xfId="1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55" fillId="4" borderId="0" xfId="0" applyFont="1" applyFill="1" applyAlignment="1">
      <alignment vertical="center"/>
    </xf>
    <xf numFmtId="0" fontId="65" fillId="0" borderId="0" xfId="0" applyFont="1"/>
    <xf numFmtId="0" fontId="13" fillId="11" borderId="12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 wrapText="1"/>
    </xf>
    <xf numFmtId="0" fontId="60" fillId="0" borderId="8" xfId="0" applyFont="1" applyBorder="1" applyAlignment="1">
      <alignment horizontal="left" wrapText="1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left" vertical="center" wrapText="1"/>
    </xf>
    <xf numFmtId="1" fontId="70" fillId="9" borderId="22" xfId="0" applyNumberFormat="1" applyFont="1" applyFill="1" applyBorder="1" applyAlignment="1">
      <alignment horizontal="center" vertical="center"/>
    </xf>
    <xf numFmtId="0" fontId="71" fillId="0" borderId="12" xfId="0" applyFont="1" applyBorder="1" applyAlignment="1">
      <alignment horizontal="left" vertical="top" wrapText="1"/>
    </xf>
    <xf numFmtId="0" fontId="71" fillId="0" borderId="11" xfId="0" applyFont="1" applyBorder="1" applyAlignment="1">
      <alignment horizontal="left" vertical="top" wrapText="1"/>
    </xf>
    <xf numFmtId="0" fontId="72" fillId="0" borderId="2" xfId="0" applyFont="1" applyBorder="1" applyAlignment="1">
      <alignment horizontal="left" vertical="top" wrapText="1"/>
    </xf>
    <xf numFmtId="0" fontId="73" fillId="3" borderId="11" xfId="0" applyFont="1" applyFill="1" applyBorder="1" applyAlignment="1">
      <alignment horizontal="center" vertical="center" wrapText="1"/>
    </xf>
    <xf numFmtId="0" fontId="76" fillId="5" borderId="2" xfId="0" applyFont="1" applyFill="1" applyBorder="1" applyAlignment="1">
      <alignment horizontal="center" vertical="center" wrapText="1"/>
    </xf>
    <xf numFmtId="0" fontId="79" fillId="0" borderId="0" xfId="0" applyFont="1"/>
    <xf numFmtId="0" fontId="80" fillId="9" borderId="11" xfId="0" applyFont="1" applyFill="1" applyBorder="1" applyAlignment="1">
      <alignment vertical="center" wrapText="1"/>
    </xf>
    <xf numFmtId="0" fontId="62" fillId="0" borderId="2" xfId="0" applyFont="1" applyBorder="1" applyAlignment="1">
      <alignment vertical="center" wrapText="1"/>
    </xf>
    <xf numFmtId="0" fontId="81" fillId="5" borderId="2" xfId="0" applyFont="1" applyFill="1" applyBorder="1" applyAlignment="1">
      <alignment horizontal="center" vertical="center" wrapText="1"/>
    </xf>
    <xf numFmtId="0" fontId="66" fillId="0" borderId="2" xfId="0" quotePrefix="1" applyFont="1" applyBorder="1" applyAlignment="1">
      <alignment horizontal="left" vertical="center" wrapText="1"/>
    </xf>
    <xf numFmtId="0" fontId="85" fillId="0" borderId="0" xfId="0" applyFont="1"/>
    <xf numFmtId="0" fontId="76" fillId="12" borderId="0" xfId="0" applyFont="1" applyFill="1" applyAlignment="1">
      <alignment horizontal="center" vertical="center" wrapText="1"/>
    </xf>
    <xf numFmtId="0" fontId="62" fillId="0" borderId="2" xfId="0" applyFont="1" applyBorder="1" applyAlignment="1">
      <alignment horizontal="left" vertical="center" wrapText="1"/>
    </xf>
    <xf numFmtId="0" fontId="13" fillId="16" borderId="12" xfId="0" applyFont="1" applyFill="1" applyBorder="1" applyAlignment="1">
      <alignment horizontal="center" vertical="center" wrapText="1"/>
    </xf>
    <xf numFmtId="0" fontId="13" fillId="16" borderId="11" xfId="0" applyFont="1" applyFill="1" applyBorder="1" applyAlignment="1">
      <alignment horizontal="center" vertical="center" wrapText="1"/>
    </xf>
    <xf numFmtId="0" fontId="53" fillId="19" borderId="11" xfId="0" applyFont="1" applyFill="1" applyBorder="1" applyAlignment="1">
      <alignment horizontal="center" vertical="center" shrinkToFit="1"/>
    </xf>
    <xf numFmtId="0" fontId="53" fillId="12" borderId="11" xfId="0" applyFont="1" applyFill="1" applyBorder="1" applyAlignment="1">
      <alignment horizontal="center" vertical="center" wrapText="1"/>
    </xf>
    <xf numFmtId="0" fontId="53" fillId="12" borderId="11" xfId="0" applyFont="1" applyFill="1" applyBorder="1" applyAlignment="1">
      <alignment horizontal="left" vertical="center" shrinkToFit="1"/>
    </xf>
    <xf numFmtId="1" fontId="13" fillId="12" borderId="22" xfId="0" applyNumberFormat="1" applyFont="1" applyFill="1" applyBorder="1" applyAlignment="1">
      <alignment horizontal="center" vertical="center" wrapText="1"/>
    </xf>
    <xf numFmtId="0" fontId="53" fillId="12" borderId="12" xfId="0" applyFont="1" applyFill="1" applyBorder="1" applyAlignment="1">
      <alignment horizontal="center" vertical="center" wrapText="1"/>
    </xf>
    <xf numFmtId="0" fontId="86" fillId="0" borderId="12" xfId="0" applyFont="1" applyBorder="1" applyAlignment="1">
      <alignment horizontal="left" vertical="top" wrapText="1"/>
    </xf>
    <xf numFmtId="0" fontId="53" fillId="0" borderId="12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53" fillId="18" borderId="11" xfId="0" applyFont="1" applyFill="1" applyBorder="1" applyAlignment="1">
      <alignment horizontal="center" vertical="center" shrinkToFit="1"/>
    </xf>
    <xf numFmtId="0" fontId="53" fillId="0" borderId="11" xfId="0" applyFont="1" applyBorder="1" applyAlignment="1">
      <alignment horizontal="left" vertical="center" shrinkToFit="1"/>
    </xf>
    <xf numFmtId="1" fontId="13" fillId="0" borderId="22" xfId="0" applyNumberFormat="1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 wrapText="1"/>
    </xf>
    <xf numFmtId="0" fontId="61" fillId="0" borderId="2" xfId="0" applyFont="1" applyBorder="1" applyAlignment="1">
      <alignment horizontal="left" vertical="center" wrapText="1"/>
    </xf>
    <xf numFmtId="0" fontId="5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80" fillId="9" borderId="11" xfId="0" applyFont="1" applyFill="1" applyBorder="1" applyAlignment="1">
      <alignment horizontal="center" vertical="center" wrapText="1"/>
    </xf>
    <xf numFmtId="0" fontId="86" fillId="0" borderId="11" xfId="0" applyFont="1" applyBorder="1" applyAlignment="1">
      <alignment horizontal="left" vertical="top" wrapText="1"/>
    </xf>
    <xf numFmtId="0" fontId="64" fillId="0" borderId="2" xfId="0" applyFont="1" applyBorder="1" applyAlignment="1">
      <alignment vertical="center" wrapText="1"/>
    </xf>
    <xf numFmtId="0" fontId="87" fillId="0" borderId="0" xfId="0" applyFont="1"/>
    <xf numFmtId="2" fontId="87" fillId="0" borderId="0" xfId="0" applyNumberFormat="1" applyFont="1"/>
    <xf numFmtId="176" fontId="87" fillId="0" borderId="0" xfId="0" applyNumberFormat="1" applyFont="1"/>
    <xf numFmtId="0" fontId="88" fillId="0" borderId="2" xfId="0" applyFont="1" applyBorder="1" applyAlignment="1">
      <alignment vertical="center" wrapText="1"/>
    </xf>
    <xf numFmtId="0" fontId="10" fillId="0" borderId="0" xfId="0" applyFont="1"/>
    <xf numFmtId="0" fontId="11" fillId="0" borderId="0" xfId="0" quotePrefix="1" applyFont="1"/>
    <xf numFmtId="0" fontId="61" fillId="12" borderId="1" xfId="0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99" fillId="0" borderId="0" xfId="0" applyFont="1"/>
    <xf numFmtId="0" fontId="31" fillId="0" borderId="2" xfId="1" applyFont="1"/>
    <xf numFmtId="0" fontId="30" fillId="0" borderId="8" xfId="0" applyFont="1" applyBorder="1" applyAlignment="1">
      <alignment horizontal="left" wrapText="1"/>
    </xf>
    <xf numFmtId="0" fontId="100" fillId="5" borderId="2" xfId="0" applyFont="1" applyFill="1" applyBorder="1" applyAlignment="1">
      <alignment horizontal="center" vertical="center" wrapText="1"/>
    </xf>
    <xf numFmtId="0" fontId="101" fillId="0" borderId="0" xfId="0" applyFont="1"/>
    <xf numFmtId="0" fontId="42" fillId="0" borderId="2" xfId="0" applyFont="1" applyBorder="1" applyAlignment="1">
      <alignment vertical="center" wrapText="1"/>
    </xf>
    <xf numFmtId="0" fontId="102" fillId="5" borderId="2" xfId="0" applyFont="1" applyFill="1" applyBorder="1" applyAlignment="1">
      <alignment horizontal="center" vertical="center" wrapText="1"/>
    </xf>
    <xf numFmtId="0" fontId="105" fillId="0" borderId="0" xfId="0" applyFont="1"/>
    <xf numFmtId="0" fontId="100" fillId="12" borderId="0" xfId="0" applyFont="1" applyFill="1" applyAlignment="1">
      <alignment horizontal="center" vertical="center" wrapText="1"/>
    </xf>
    <xf numFmtId="0" fontId="42" fillId="0" borderId="2" xfId="0" applyFont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06" fillId="0" borderId="0" xfId="0" applyFont="1"/>
    <xf numFmtId="2" fontId="106" fillId="0" borderId="0" xfId="0" applyNumberFormat="1" applyFont="1"/>
    <xf numFmtId="176" fontId="106" fillId="0" borderId="0" xfId="0" applyNumberFormat="1" applyFont="1"/>
    <xf numFmtId="0" fontId="51" fillId="0" borderId="0" xfId="0" applyFont="1"/>
    <xf numFmtId="0" fontId="107" fillId="0" borderId="0" xfId="0" applyFont="1"/>
    <xf numFmtId="0" fontId="11" fillId="0" borderId="0" xfId="0" applyFont="1" applyAlignment="1">
      <alignment wrapText="1"/>
    </xf>
    <xf numFmtId="0" fontId="55" fillId="0" borderId="0" xfId="0" applyFont="1" applyAlignment="1">
      <alignment vertical="center"/>
    </xf>
    <xf numFmtId="0" fontId="108" fillId="0" borderId="0" xfId="0" applyFont="1" applyAlignment="1">
      <alignment horizontal="left" vertical="center" wrapText="1"/>
    </xf>
    <xf numFmtId="0" fontId="57" fillId="0" borderId="0" xfId="0" applyFont="1" applyAlignment="1">
      <alignment vertical="center"/>
    </xf>
    <xf numFmtId="0" fontId="52" fillId="0" borderId="2" xfId="0" applyFont="1" applyBorder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11" fillId="7" borderId="3" xfId="0" applyFont="1" applyFill="1" applyBorder="1" applyAlignment="1">
      <alignment horizontal="center" vertical="center" wrapText="1"/>
    </xf>
    <xf numFmtId="0" fontId="12" fillId="26" borderId="11" xfId="1" applyFont="1" applyFill="1" applyBorder="1" applyAlignment="1">
      <alignment horizontal="center" vertical="center" wrapText="1"/>
    </xf>
    <xf numFmtId="0" fontId="98" fillId="24" borderId="11" xfId="1" applyFont="1" applyFill="1" applyBorder="1" applyAlignment="1">
      <alignment horizontal="center" vertical="center" wrapText="1"/>
    </xf>
    <xf numFmtId="178" fontId="97" fillId="28" borderId="11" xfId="1" applyNumberFormat="1" applyFont="1" applyFill="1" applyBorder="1" applyAlignment="1">
      <alignment horizontal="center" vertical="center" wrapText="1"/>
    </xf>
    <xf numFmtId="0" fontId="97" fillId="28" borderId="11" xfId="1" applyFont="1" applyFill="1" applyBorder="1" applyAlignment="1">
      <alignment horizontal="center" vertical="center" wrapText="1"/>
    </xf>
    <xf numFmtId="14" fontId="97" fillId="28" borderId="11" xfId="1" applyNumberFormat="1" applyFont="1" applyFill="1" applyBorder="1" applyAlignment="1">
      <alignment horizontal="center" vertical="center" wrapText="1"/>
    </xf>
    <xf numFmtId="0" fontId="97" fillId="28" borderId="11" xfId="1" applyFont="1" applyFill="1" applyBorder="1" applyAlignment="1">
      <alignment horizontal="left" vertical="center" wrapText="1"/>
    </xf>
    <xf numFmtId="0" fontId="92" fillId="26" borderId="11" xfId="1" applyFont="1" applyFill="1" applyBorder="1" applyAlignment="1">
      <alignment horizontal="center" vertical="center" wrapText="1"/>
    </xf>
    <xf numFmtId="0" fontId="95" fillId="27" borderId="11" xfId="1" applyFont="1" applyFill="1" applyBorder="1" applyAlignment="1">
      <alignment horizontal="center" vertical="center" wrapText="1"/>
    </xf>
    <xf numFmtId="0" fontId="96" fillId="0" borderId="11" xfId="1" applyFont="1" applyBorder="1" applyAlignment="1">
      <alignment horizontal="center" vertical="center" wrapText="1"/>
    </xf>
    <xf numFmtId="1" fontId="113" fillId="12" borderId="11" xfId="1" applyNumberFormat="1" applyFont="1" applyFill="1" applyBorder="1" applyAlignment="1">
      <alignment horizontal="center" vertical="center" wrapText="1"/>
    </xf>
    <xf numFmtId="0" fontId="114" fillId="3" borderId="11" xfId="0" applyFont="1" applyFill="1" applyBorder="1" applyAlignment="1">
      <alignment horizontal="center" vertical="center"/>
    </xf>
    <xf numFmtId="0" fontId="115" fillId="3" borderId="11" xfId="0" applyFont="1" applyFill="1" applyBorder="1" applyAlignment="1">
      <alignment horizontal="center" vertical="center"/>
    </xf>
    <xf numFmtId="0" fontId="116" fillId="8" borderId="3" xfId="0" applyFont="1" applyFill="1" applyBorder="1" applyAlignment="1">
      <alignment horizontal="left" vertical="top" wrapText="1"/>
    </xf>
    <xf numFmtId="0" fontId="112" fillId="0" borderId="11" xfId="1" applyFont="1" applyBorder="1" applyAlignment="1">
      <alignment horizontal="left" vertical="center" shrinkToFit="1"/>
    </xf>
    <xf numFmtId="0" fontId="98" fillId="24" borderId="11" xfId="1" applyFont="1" applyFill="1" applyBorder="1" applyAlignment="1">
      <alignment horizontal="center" vertical="center" wrapText="1"/>
    </xf>
    <xf numFmtId="0" fontId="98" fillId="24" borderId="14" xfId="1" applyFont="1" applyFill="1" applyBorder="1" applyAlignment="1">
      <alignment horizontal="center" vertical="center" wrapText="1"/>
    </xf>
    <xf numFmtId="0" fontId="98" fillId="24" borderId="25" xfId="1" applyFont="1" applyFill="1" applyBorder="1" applyAlignment="1">
      <alignment horizontal="center" vertical="center" wrapText="1"/>
    </xf>
    <xf numFmtId="0" fontId="98" fillId="24" borderId="21" xfId="1" applyFont="1" applyFill="1" applyBorder="1" applyAlignment="1">
      <alignment horizontal="center" vertical="center" wrapText="1"/>
    </xf>
    <xf numFmtId="0" fontId="122" fillId="30" borderId="11" xfId="1" applyFont="1" applyFill="1" applyBorder="1" applyAlignment="1">
      <alignment horizontal="left" vertical="center" wrapText="1"/>
    </xf>
    <xf numFmtId="0" fontId="97" fillId="30" borderId="11" xfId="1" applyFont="1" applyFill="1" applyBorder="1" applyAlignment="1">
      <alignment horizontal="right" vertical="center" wrapText="1"/>
    </xf>
    <xf numFmtId="0" fontId="97" fillId="30" borderId="13" xfId="1" applyFont="1" applyFill="1" applyBorder="1" applyAlignment="1">
      <alignment horizontal="left" vertical="center" wrapText="1"/>
    </xf>
    <xf numFmtId="0" fontId="97" fillId="30" borderId="15" xfId="1" applyFont="1" applyFill="1" applyBorder="1" applyAlignment="1">
      <alignment horizontal="left" vertical="center" wrapText="1"/>
    </xf>
    <xf numFmtId="0" fontId="97" fillId="30" borderId="12" xfId="1" applyFont="1" applyFill="1" applyBorder="1" applyAlignment="1">
      <alignment horizontal="left" vertical="center" wrapText="1"/>
    </xf>
    <xf numFmtId="0" fontId="98" fillId="24" borderId="13" xfId="1" applyFont="1" applyFill="1" applyBorder="1" applyAlignment="1">
      <alignment horizontal="center" vertical="center" wrapText="1"/>
    </xf>
    <xf numFmtId="0" fontId="98" fillId="24" borderId="15" xfId="1" applyFont="1" applyFill="1" applyBorder="1" applyAlignment="1">
      <alignment horizontal="center" vertical="center" wrapText="1"/>
    </xf>
    <xf numFmtId="0" fontId="98" fillId="24" borderId="12" xfId="1" applyFont="1" applyFill="1" applyBorder="1" applyAlignment="1">
      <alignment horizontal="center" vertical="center" wrapText="1"/>
    </xf>
    <xf numFmtId="0" fontId="62" fillId="29" borderId="11" xfId="1" applyFont="1" applyFill="1" applyBorder="1" applyAlignment="1">
      <alignment horizontal="left" vertical="center" wrapText="1"/>
    </xf>
    <xf numFmtId="0" fontId="91" fillId="25" borderId="28" xfId="1" applyFont="1" applyFill="1" applyBorder="1" applyAlignment="1">
      <alignment horizontal="left" vertical="center" wrapText="1"/>
    </xf>
    <xf numFmtId="0" fontId="91" fillId="25" borderId="11" xfId="1" applyFont="1" applyFill="1" applyBorder="1" applyAlignment="1">
      <alignment horizontal="left" vertical="center" wrapText="1"/>
    </xf>
    <xf numFmtId="0" fontId="13" fillId="24" borderId="11" xfId="1" applyFont="1" applyFill="1" applyBorder="1" applyAlignment="1">
      <alignment horizontal="center" vertical="center" wrapText="1"/>
    </xf>
    <xf numFmtId="0" fontId="61" fillId="31" borderId="11" xfId="1" applyFont="1" applyFill="1" applyBorder="1" applyAlignment="1">
      <alignment horizontal="left" vertical="center" wrapText="1"/>
    </xf>
    <xf numFmtId="0" fontId="13" fillId="0" borderId="11" xfId="1" applyFont="1" applyBorder="1" applyAlignment="1">
      <alignment horizontal="left" vertical="center" wrapText="1"/>
    </xf>
    <xf numFmtId="0" fontId="12" fillId="26" borderId="13" xfId="1" applyFont="1" applyFill="1" applyBorder="1" applyAlignment="1">
      <alignment horizontal="center" vertical="center" wrapText="1"/>
    </xf>
    <xf numFmtId="0" fontId="12" fillId="26" borderId="15" xfId="1" applyFont="1" applyFill="1" applyBorder="1" applyAlignment="1">
      <alignment horizontal="center" vertical="center" wrapText="1"/>
    </xf>
    <xf numFmtId="0" fontId="12" fillId="26" borderId="12" xfId="1" applyFont="1" applyFill="1" applyBorder="1" applyAlignment="1">
      <alignment horizontal="center" vertical="center" wrapText="1"/>
    </xf>
    <xf numFmtId="0" fontId="53" fillId="12" borderId="11" xfId="1" applyFont="1" applyFill="1" applyBorder="1" applyAlignment="1">
      <alignment horizontal="left" vertical="center" wrapText="1"/>
    </xf>
    <xf numFmtId="0" fontId="92" fillId="26" borderId="11" xfId="1" applyFont="1" applyFill="1" applyBorder="1" applyAlignment="1">
      <alignment horizontal="center" vertical="center" wrapText="1"/>
    </xf>
    <xf numFmtId="0" fontId="54" fillId="25" borderId="11" xfId="1" applyFont="1" applyFill="1" applyBorder="1" applyAlignment="1">
      <alignment horizontal="left" vertical="center" wrapText="1"/>
    </xf>
    <xf numFmtId="0" fontId="53" fillId="28" borderId="11" xfId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/>
    </xf>
    <xf numFmtId="0" fontId="90" fillId="0" borderId="28" xfId="1" applyFont="1" applyBorder="1" applyAlignment="1">
      <alignment horizontal="center" vertical="center"/>
    </xf>
    <xf numFmtId="14" fontId="53" fillId="28" borderId="11" xfId="1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/>
    </xf>
    <xf numFmtId="0" fontId="11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14" fontId="14" fillId="9" borderId="3" xfId="0" applyNumberFormat="1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 wrapText="1"/>
    </xf>
    <xf numFmtId="0" fontId="52" fillId="0" borderId="8" xfId="0" applyFont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 wrapText="1"/>
    </xf>
    <xf numFmtId="0" fontId="55" fillId="4" borderId="0" xfId="0" applyFont="1" applyFill="1" applyAlignment="1">
      <alignment horizontal="center" vertical="center"/>
    </xf>
    <xf numFmtId="0" fontId="57" fillId="7" borderId="0" xfId="0" applyFont="1" applyFill="1" applyAlignment="1">
      <alignment horizontal="center" vertical="center"/>
    </xf>
    <xf numFmtId="0" fontId="14" fillId="9" borderId="5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0" fontId="13" fillId="20" borderId="12" xfId="0" applyFont="1" applyFill="1" applyBorder="1" applyAlignment="1">
      <alignment horizontal="center" vertical="center" wrapText="1"/>
    </xf>
    <xf numFmtId="0" fontId="13" fillId="20" borderId="11" xfId="0" applyFont="1" applyFill="1" applyBorder="1" applyAlignment="1">
      <alignment horizontal="center" vertical="center" wrapText="1"/>
    </xf>
    <xf numFmtId="0" fontId="54" fillId="7" borderId="11" xfId="0" applyFont="1" applyFill="1" applyBorder="1" applyAlignment="1">
      <alignment horizontal="left" vertical="center" wrapText="1"/>
    </xf>
    <xf numFmtId="0" fontId="4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13" fillId="16" borderId="19" xfId="0" applyFont="1" applyFill="1" applyBorder="1" applyAlignment="1">
      <alignment horizontal="center" vertical="center" wrapText="1"/>
    </xf>
    <xf numFmtId="0" fontId="13" fillId="16" borderId="16" xfId="0" applyFont="1" applyFill="1" applyBorder="1" applyAlignment="1">
      <alignment horizontal="center" vertical="center" wrapText="1"/>
    </xf>
    <xf numFmtId="0" fontId="13" fillId="16" borderId="20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 wrapText="1"/>
    </xf>
    <xf numFmtId="0" fontId="13" fillId="20" borderId="14" xfId="0" applyFont="1" applyFill="1" applyBorder="1" applyAlignment="1">
      <alignment horizontal="center" vertical="center" wrapText="1"/>
    </xf>
    <xf numFmtId="0" fontId="13" fillId="20" borderId="25" xfId="0" applyFont="1" applyFill="1" applyBorder="1" applyAlignment="1">
      <alignment horizontal="center" vertical="center" wrapText="1"/>
    </xf>
    <xf numFmtId="0" fontId="13" fillId="20" borderId="21" xfId="0" applyFont="1" applyFill="1" applyBorder="1" applyAlignment="1">
      <alignment horizontal="center" vertical="center" wrapText="1"/>
    </xf>
    <xf numFmtId="0" fontId="13" fillId="20" borderId="23" xfId="0" applyFont="1" applyFill="1" applyBorder="1" applyAlignment="1">
      <alignment horizontal="center" vertical="center" wrapText="1"/>
    </xf>
    <xf numFmtId="0" fontId="13" fillId="20" borderId="26" xfId="0" applyFont="1" applyFill="1" applyBorder="1" applyAlignment="1">
      <alignment horizontal="center" vertical="center" wrapText="1"/>
    </xf>
    <xf numFmtId="0" fontId="13" fillId="20" borderId="24" xfId="0" applyFont="1" applyFill="1" applyBorder="1" applyAlignment="1">
      <alignment horizontal="center" vertical="center" wrapText="1"/>
    </xf>
    <xf numFmtId="0" fontId="54" fillId="7" borderId="13" xfId="0" applyFont="1" applyFill="1" applyBorder="1" applyAlignment="1">
      <alignment horizontal="left" vertical="center" wrapText="1"/>
    </xf>
    <xf numFmtId="0" fontId="89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88" fillId="0" borderId="11" xfId="0" applyFont="1" applyBorder="1" applyAlignment="1">
      <alignment horizontal="left" vertical="center" wrapText="1"/>
    </xf>
    <xf numFmtId="0" fontId="66" fillId="0" borderId="17" xfId="0" quotePrefix="1" applyFont="1" applyBorder="1" applyAlignment="1">
      <alignment horizontal="left" vertical="center" wrapText="1"/>
    </xf>
    <xf numFmtId="0" fontId="66" fillId="0" borderId="2" xfId="0" quotePrefix="1" applyFont="1" applyBorder="1" applyAlignment="1">
      <alignment horizontal="left" vertical="center" wrapText="1"/>
    </xf>
    <xf numFmtId="0" fontId="47" fillId="0" borderId="11" xfId="0" applyFont="1" applyBorder="1" applyAlignment="1">
      <alignment horizontal="left" vertical="center" wrapText="1"/>
    </xf>
    <xf numFmtId="0" fontId="13" fillId="17" borderId="11" xfId="0" applyFont="1" applyFill="1" applyBorder="1" applyAlignment="1">
      <alignment horizontal="center" vertical="center" wrapText="1"/>
    </xf>
    <xf numFmtId="0" fontId="13" fillId="17" borderId="13" xfId="0" applyFont="1" applyFill="1" applyBorder="1" applyAlignment="1">
      <alignment horizontal="center" vertical="center" wrapText="1"/>
    </xf>
    <xf numFmtId="176" fontId="70" fillId="0" borderId="11" xfId="0" applyNumberFormat="1" applyFont="1" applyBorder="1" applyAlignment="1">
      <alignment horizontal="center" vertical="center"/>
    </xf>
    <xf numFmtId="1" fontId="75" fillId="0" borderId="13" xfId="0" applyNumberFormat="1" applyFont="1" applyBorder="1" applyAlignment="1">
      <alignment horizontal="center" vertical="center"/>
    </xf>
    <xf numFmtId="1" fontId="75" fillId="0" borderId="12" xfId="0" applyNumberFormat="1" applyFont="1" applyBorder="1" applyAlignment="1">
      <alignment horizontal="center" vertical="center"/>
    </xf>
    <xf numFmtId="0" fontId="52" fillId="11" borderId="11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52" fillId="11" borderId="13" xfId="0" applyFont="1" applyFill="1" applyBorder="1" applyAlignment="1">
      <alignment horizontal="left" vertical="center" wrapText="1"/>
    </xf>
    <xf numFmtId="0" fontId="52" fillId="11" borderId="12" xfId="0" applyFont="1" applyFill="1" applyBorder="1" applyAlignment="1">
      <alignment horizontal="left" vertical="center" wrapText="1"/>
    </xf>
    <xf numFmtId="0" fontId="13" fillId="17" borderId="11" xfId="0" applyFont="1" applyFill="1" applyBorder="1" applyAlignment="1">
      <alignment horizontal="left" vertical="center" wrapText="1"/>
    </xf>
    <xf numFmtId="0" fontId="13" fillId="17" borderId="13" xfId="0" applyFont="1" applyFill="1" applyBorder="1" applyAlignment="1">
      <alignment horizontal="left" vertical="center" wrapText="1"/>
    </xf>
    <xf numFmtId="0" fontId="13" fillId="11" borderId="15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3" fillId="16" borderId="11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58" fillId="11" borderId="11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4" fillId="0" borderId="11" xfId="0" applyFont="1" applyBorder="1" applyAlignment="1">
      <alignment horizontal="center" vertical="center"/>
    </xf>
    <xf numFmtId="0" fontId="74" fillId="0" borderId="14" xfId="0" applyFont="1" applyBorder="1" applyAlignment="1">
      <alignment horizontal="center" vertical="center"/>
    </xf>
    <xf numFmtId="0" fontId="75" fillId="0" borderId="14" xfId="0" applyFont="1" applyBorder="1" applyAlignment="1">
      <alignment horizontal="center" vertical="center"/>
    </xf>
    <xf numFmtId="0" fontId="78" fillId="0" borderId="11" xfId="0" applyFont="1" applyBorder="1" applyAlignment="1">
      <alignment horizontal="center" vertical="center"/>
    </xf>
    <xf numFmtId="1" fontId="75" fillId="0" borderId="11" xfId="0" applyNumberFormat="1" applyFont="1" applyBorder="1" applyAlignment="1">
      <alignment horizontal="center" vertical="center"/>
    </xf>
    <xf numFmtId="0" fontId="75" fillId="0" borderId="11" xfId="0" applyFont="1" applyBorder="1" applyAlignment="1">
      <alignment horizontal="center" vertical="center"/>
    </xf>
    <xf numFmtId="0" fontId="13" fillId="20" borderId="27" xfId="0" applyFont="1" applyFill="1" applyBorder="1" applyAlignment="1">
      <alignment horizontal="center" vertical="center" wrapText="1"/>
    </xf>
    <xf numFmtId="0" fontId="13" fillId="20" borderId="15" xfId="0" applyFont="1" applyFill="1" applyBorder="1" applyAlignment="1">
      <alignment horizontal="center" vertical="center" wrapText="1"/>
    </xf>
    <xf numFmtId="0" fontId="88" fillId="0" borderId="13" xfId="0" applyFont="1" applyBorder="1" applyAlignment="1">
      <alignment horizontal="left" vertical="center" wrapText="1"/>
    </xf>
    <xf numFmtId="0" fontId="88" fillId="0" borderId="15" xfId="0" applyFont="1" applyBorder="1" applyAlignment="1">
      <alignment horizontal="left" vertical="center" wrapText="1"/>
    </xf>
    <xf numFmtId="0" fontId="88" fillId="0" borderId="12" xfId="0" applyFont="1" applyBorder="1" applyAlignment="1">
      <alignment horizontal="left" vertical="center" wrapText="1"/>
    </xf>
    <xf numFmtId="0" fontId="86" fillId="0" borderId="11" xfId="0" applyFont="1" applyBorder="1" applyAlignment="1">
      <alignment vertical="center" wrapText="1"/>
    </xf>
    <xf numFmtId="1" fontId="74" fillId="0" borderId="11" xfId="0" applyNumberFormat="1" applyFont="1" applyBorder="1" applyAlignment="1">
      <alignment horizontal="center" vertical="center"/>
    </xf>
    <xf numFmtId="0" fontId="33" fillId="7" borderId="11" xfId="0" applyFont="1" applyFill="1" applyBorder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104" fillId="0" borderId="11" xfId="0" applyFont="1" applyBorder="1" applyAlignment="1">
      <alignment horizontal="left" vertical="center" wrapText="1"/>
    </xf>
    <xf numFmtId="176" fontId="32" fillId="0" borderId="11" xfId="0" applyNumberFormat="1" applyFont="1" applyBorder="1" applyAlignment="1">
      <alignment horizontal="center" vertical="center"/>
    </xf>
    <xf numFmtId="0" fontId="33" fillId="7" borderId="13" xfId="0" applyFont="1" applyFill="1" applyBorder="1" applyAlignment="1">
      <alignment horizontal="left" vertical="center" wrapText="1"/>
    </xf>
    <xf numFmtId="0" fontId="50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vertical="center" wrapText="1"/>
    </xf>
    <xf numFmtId="0" fontId="17" fillId="17" borderId="11" xfId="0" applyFont="1" applyFill="1" applyBorder="1" applyAlignment="1">
      <alignment horizontal="left" vertical="center" wrapText="1"/>
    </xf>
    <xf numFmtId="0" fontId="17" fillId="17" borderId="13" xfId="0" applyFont="1" applyFill="1" applyBorder="1" applyAlignment="1">
      <alignment horizontal="left" vertical="center" wrapText="1"/>
    </xf>
    <xf numFmtId="0" fontId="17" fillId="17" borderId="11" xfId="0" applyFont="1" applyFill="1" applyBorder="1" applyAlignment="1">
      <alignment horizontal="center" vertical="center" wrapText="1"/>
    </xf>
    <xf numFmtId="0" fontId="17" fillId="17" borderId="13" xfId="0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left" vertical="center" wrapText="1"/>
    </xf>
    <xf numFmtId="0" fontId="17" fillId="20" borderId="12" xfId="0" applyFont="1" applyFill="1" applyBorder="1" applyAlignment="1">
      <alignment horizontal="center" vertical="center" wrapText="1"/>
    </xf>
    <xf numFmtId="0" fontId="17" fillId="20" borderId="11" xfId="0" applyFont="1" applyFill="1" applyBorder="1" applyAlignment="1">
      <alignment horizontal="center" vertical="center" wrapText="1"/>
    </xf>
    <xf numFmtId="0" fontId="17" fillId="16" borderId="19" xfId="0" applyFont="1" applyFill="1" applyBorder="1" applyAlignment="1">
      <alignment horizontal="center" vertical="center" wrapText="1"/>
    </xf>
    <xf numFmtId="0" fontId="17" fillId="16" borderId="16" xfId="0" applyFont="1" applyFill="1" applyBorder="1" applyAlignment="1">
      <alignment horizontal="center" vertical="center" wrapText="1"/>
    </xf>
    <xf numFmtId="0" fontId="17" fillId="16" borderId="20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0" fontId="17" fillId="16" borderId="11" xfId="0" applyFont="1" applyFill="1" applyBorder="1" applyAlignment="1">
      <alignment horizontal="center" vertical="center" wrapText="1"/>
    </xf>
    <xf numFmtId="0" fontId="17" fillId="20" borderId="14" xfId="0" applyFont="1" applyFill="1" applyBorder="1" applyAlignment="1">
      <alignment horizontal="center" vertical="center" wrapText="1"/>
    </xf>
    <xf numFmtId="0" fontId="17" fillId="20" borderId="25" xfId="0" applyFont="1" applyFill="1" applyBorder="1" applyAlignment="1">
      <alignment horizontal="center" vertical="center" wrapText="1"/>
    </xf>
    <xf numFmtId="0" fontId="17" fillId="20" borderId="21" xfId="0" applyFont="1" applyFill="1" applyBorder="1" applyAlignment="1">
      <alignment horizontal="center" vertical="center" wrapText="1"/>
    </xf>
    <xf numFmtId="0" fontId="17" fillId="20" borderId="23" xfId="0" applyFont="1" applyFill="1" applyBorder="1" applyAlignment="1">
      <alignment horizontal="center" vertical="center" wrapText="1"/>
    </xf>
    <xf numFmtId="0" fontId="17" fillId="20" borderId="26" xfId="0" applyFont="1" applyFill="1" applyBorder="1" applyAlignment="1">
      <alignment horizontal="center" vertical="center" wrapText="1"/>
    </xf>
    <xf numFmtId="0" fontId="17" fillId="20" borderId="24" xfId="0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/>
    </xf>
    <xf numFmtId="0" fontId="45" fillId="0" borderId="17" xfId="0" quotePrefix="1" applyFont="1" applyBorder="1" applyAlignment="1">
      <alignment horizontal="left" vertical="center" wrapText="1"/>
    </xf>
    <xf numFmtId="0" fontId="6" fillId="11" borderId="13" xfId="0" applyFont="1" applyFill="1" applyBorder="1" applyAlignment="1">
      <alignment horizontal="left" vertical="center" wrapText="1"/>
    </xf>
    <xf numFmtId="0" fontId="6" fillId="11" borderId="12" xfId="0" applyFont="1" applyFill="1" applyBorder="1" applyAlignment="1">
      <alignment horizontal="left" vertical="center" wrapText="1"/>
    </xf>
    <xf numFmtId="1" fontId="36" fillId="0" borderId="13" xfId="0" applyNumberFormat="1" applyFont="1" applyBorder="1" applyAlignment="1">
      <alignment horizontal="center" vertical="center"/>
    </xf>
    <xf numFmtId="1" fontId="36" fillId="0" borderId="12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vertical="center" wrapText="1"/>
    </xf>
    <xf numFmtId="0" fontId="29" fillId="0" borderId="15" xfId="0" applyFont="1" applyBorder="1" applyAlignment="1">
      <alignment vertical="center" wrapText="1"/>
    </xf>
    <xf numFmtId="0" fontId="6" fillId="11" borderId="11" xfId="0" applyFont="1" applyFill="1" applyBorder="1" applyAlignment="1">
      <alignment horizontal="left" vertical="center" wrapText="1"/>
    </xf>
    <xf numFmtId="1" fontId="36" fillId="0" borderId="11" xfId="0" applyNumberFormat="1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29" fillId="0" borderId="12" xfId="0" applyFont="1" applyBorder="1" applyAlignment="1">
      <alignment vertical="center"/>
    </xf>
    <xf numFmtId="0" fontId="31" fillId="11" borderId="11" xfId="0" applyFont="1" applyFill="1" applyBorder="1" applyAlignment="1">
      <alignment horizontal="left" vertical="center" wrapText="1"/>
    </xf>
    <xf numFmtId="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0" fontId="40" fillId="0" borderId="14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7" fillId="11" borderId="1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56" fillId="7" borderId="0" xfId="0" applyFont="1" applyFill="1" applyAlignment="1">
      <alignment horizontal="center" vertical="center"/>
    </xf>
    <xf numFmtId="0" fontId="119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10" fillId="0" borderId="11" xfId="0" applyFont="1" applyBorder="1" applyAlignment="1"/>
    <xf numFmtId="0" fontId="7" fillId="0" borderId="11" xfId="0" applyFont="1" applyBorder="1" applyAlignment="1"/>
    <xf numFmtId="0" fontId="86" fillId="0" borderId="11" xfId="0" applyFont="1" applyBorder="1" applyAlignment="1"/>
    <xf numFmtId="0" fontId="51" fillId="0" borderId="11" xfId="0" applyFont="1" applyBorder="1" applyAlignment="1"/>
    <xf numFmtId="0" fontId="29" fillId="0" borderId="11" xfId="0" applyFont="1" applyBorder="1" applyAlignment="1"/>
  </cellXfs>
  <cellStyles count="2">
    <cellStyle name="표준" xfId="0" builtinId="0"/>
    <cellStyle name="표준 2" xfId="1" xr:uid="{0EAFF447-1C1C-4A54-B8AE-C8D6D21CEC6A}"/>
  </cellStyles>
  <dxfs count="4">
    <dxf>
      <fill>
        <patternFill>
          <bgColor theme="0" tint="-0.34998626667073579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mruColors>
      <color rgb="FFC4BD97"/>
      <color rgb="FFFFFFCC"/>
      <color rgb="FFFFFF66"/>
      <color rgb="FF99CCFF"/>
      <color rgb="FFCCFF99"/>
      <color rgb="FFBEEDAD"/>
      <color rgb="FF663799"/>
      <color rgb="FFCEF1C1"/>
      <color rgb="FFFFFF99"/>
      <color rgb="FFF4F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I68"/>
  <sheetViews>
    <sheetView showGridLines="0" view="pageBreakPreview" zoomScaleNormal="100" zoomScaleSheetLayoutView="100" workbookViewId="0">
      <selection activeCell="A3" sqref="A3"/>
    </sheetView>
  </sheetViews>
  <sheetFormatPr defaultRowHeight="16.5"/>
  <cols>
    <col min="1" max="1" width="2.625" style="4" customWidth="1"/>
    <col min="2" max="2" width="16" style="4" customWidth="1"/>
    <col min="3" max="3" width="36.625" style="4" customWidth="1"/>
    <col min="4" max="4" width="17.625" style="4" customWidth="1"/>
    <col min="5" max="5" width="17.625" style="3" customWidth="1"/>
    <col min="6" max="6" width="2.625" style="3" customWidth="1"/>
    <col min="7" max="7" width="34.5" style="3" customWidth="1"/>
    <col min="8" max="8" width="46.875" style="4" customWidth="1"/>
    <col min="9" max="16384" width="9" style="4"/>
  </cols>
  <sheetData>
    <row r="1" spans="1:8" ht="33.950000000000003" customHeight="1">
      <c r="A1" s="221" t="s">
        <v>0</v>
      </c>
      <c r="B1" s="221"/>
      <c r="C1" s="221"/>
      <c r="D1" s="221"/>
      <c r="E1" s="221"/>
      <c r="F1" s="221"/>
      <c r="G1" s="155"/>
      <c r="H1" s="156"/>
    </row>
    <row r="2" spans="1:8" ht="20.100000000000001" customHeight="1">
      <c r="A2" s="222" t="s">
        <v>1</v>
      </c>
      <c r="B2" s="222"/>
      <c r="C2" s="222"/>
      <c r="D2" s="222"/>
      <c r="E2" s="222"/>
      <c r="F2" s="222"/>
      <c r="G2" s="157"/>
      <c r="H2" s="156"/>
    </row>
    <row r="3" spans="1:8" ht="8.1" customHeight="1">
      <c r="H3" s="156"/>
    </row>
    <row r="4" spans="1:8" ht="26.1" customHeight="1" thickBot="1">
      <c r="B4" s="219" t="s">
        <v>2</v>
      </c>
      <c r="C4" s="219"/>
      <c r="D4" s="219"/>
      <c r="E4" s="219"/>
      <c r="F4" s="158"/>
      <c r="G4" s="20" t="s">
        <v>3</v>
      </c>
    </row>
    <row r="5" spans="1:8" ht="24" customHeight="1">
      <c r="B5" s="159" t="s">
        <v>4</v>
      </c>
      <c r="C5" s="223"/>
      <c r="D5" s="224"/>
      <c r="E5" s="225"/>
      <c r="F5" s="160"/>
      <c r="G5" s="210" t="s">
        <v>5</v>
      </c>
    </row>
    <row r="6" spans="1:8" ht="24" customHeight="1">
      <c r="B6" s="161" t="s">
        <v>6</v>
      </c>
      <c r="C6" s="212"/>
      <c r="D6" s="212"/>
      <c r="E6" s="212"/>
      <c r="F6" s="160"/>
      <c r="G6" s="211"/>
    </row>
    <row r="7" spans="1:8" ht="24" customHeight="1">
      <c r="B7" s="161" t="s">
        <v>7</v>
      </c>
      <c r="C7" s="215"/>
      <c r="D7" s="215"/>
      <c r="E7" s="215"/>
      <c r="F7" s="163"/>
      <c r="G7" s="14" t="s">
        <v>8</v>
      </c>
    </row>
    <row r="8" spans="1:8" ht="15.75" customHeight="1">
      <c r="B8" s="216" t="s">
        <v>9</v>
      </c>
      <c r="C8" s="161" t="s">
        <v>10</v>
      </c>
      <c r="D8" s="161" t="s">
        <v>11</v>
      </c>
      <c r="E8" s="161" t="s">
        <v>12</v>
      </c>
      <c r="F8" s="164"/>
      <c r="G8" s="217" t="s">
        <v>13</v>
      </c>
    </row>
    <row r="9" spans="1:8" ht="24" customHeight="1">
      <c r="B9" s="216"/>
      <c r="C9" s="162"/>
      <c r="D9" s="165"/>
      <c r="E9" s="165"/>
      <c r="F9" s="166"/>
      <c r="G9" s="217"/>
    </row>
    <row r="10" spans="1:8" ht="24" customHeight="1">
      <c r="B10" s="216"/>
      <c r="C10" s="162"/>
      <c r="D10" s="165"/>
      <c r="E10" s="165"/>
      <c r="F10" s="166"/>
      <c r="G10" s="217"/>
    </row>
    <row r="11" spans="1:8" ht="24" customHeight="1">
      <c r="B11" s="216"/>
      <c r="C11" s="162"/>
      <c r="D11" s="162"/>
      <c r="E11" s="162"/>
      <c r="F11" s="160"/>
      <c r="G11" s="217"/>
    </row>
    <row r="12" spans="1:8" ht="24" customHeight="1">
      <c r="B12" s="216"/>
      <c r="C12" s="162"/>
      <c r="D12" s="162"/>
      <c r="E12" s="162"/>
      <c r="F12" s="160"/>
      <c r="G12" s="217"/>
    </row>
    <row r="13" spans="1:8" ht="24" customHeight="1">
      <c r="B13" s="216"/>
      <c r="C13" s="162"/>
      <c r="D13" s="162"/>
      <c r="E13" s="162"/>
      <c r="F13" s="160"/>
      <c r="G13" s="217"/>
    </row>
    <row r="14" spans="1:8" ht="24" customHeight="1">
      <c r="B14" s="161" t="s">
        <v>14</v>
      </c>
      <c r="C14" s="212"/>
      <c r="D14" s="212"/>
      <c r="E14" s="212"/>
      <c r="F14" s="160"/>
      <c r="G14" s="217" t="s">
        <v>15</v>
      </c>
    </row>
    <row r="15" spans="1:8" ht="24" customHeight="1">
      <c r="B15" s="161" t="s">
        <v>16</v>
      </c>
      <c r="C15" s="212"/>
      <c r="D15" s="212"/>
      <c r="E15" s="212"/>
      <c r="F15" s="160"/>
      <c r="G15" s="217"/>
    </row>
    <row r="16" spans="1:8" ht="33.75" customHeight="1" thickBot="1">
      <c r="B16" s="161" t="s">
        <v>17</v>
      </c>
      <c r="C16" s="218"/>
      <c r="D16" s="212"/>
      <c r="E16" s="212"/>
      <c r="F16" s="160"/>
      <c r="G16" s="217"/>
      <c r="H16" s="9" t="s">
        <v>18</v>
      </c>
    </row>
    <row r="17" spans="2:9" ht="57" customHeight="1">
      <c r="B17" s="167" t="s">
        <v>19</v>
      </c>
      <c r="C17" s="218"/>
      <c r="D17" s="212"/>
      <c r="E17" s="212"/>
      <c r="F17" s="4"/>
      <c r="G17" s="15" t="s">
        <v>20</v>
      </c>
      <c r="H17" s="16" t="s">
        <v>21</v>
      </c>
    </row>
    <row r="18" spans="2:9">
      <c r="G18" s="18"/>
      <c r="H18" s="19"/>
      <c r="I18" s="3"/>
    </row>
    <row r="19" spans="2:9" ht="17.25" thickBot="1">
      <c r="B19" s="219" t="s">
        <v>22</v>
      </c>
      <c r="C19" s="219"/>
      <c r="D19" s="219"/>
      <c r="E19" s="219"/>
    </row>
    <row r="20" spans="2:9" ht="70.5" customHeight="1">
      <c r="B20" s="213" t="s">
        <v>23</v>
      </c>
      <c r="C20" s="214"/>
      <c r="D20" s="214"/>
      <c r="E20" s="214"/>
    </row>
    <row r="21" spans="2:9" ht="27.95" customHeight="1">
      <c r="B21" s="5" t="s">
        <v>24</v>
      </c>
      <c r="C21" s="5" t="s">
        <v>25</v>
      </c>
      <c r="D21" s="5" t="s">
        <v>26</v>
      </c>
      <c r="E21" s="5" t="s">
        <v>27</v>
      </c>
      <c r="F21" s="6"/>
    </row>
    <row r="22" spans="2:9" ht="24" customHeight="1" thickBot="1">
      <c r="B22" s="220" t="s">
        <v>28</v>
      </c>
      <c r="C22" s="220"/>
      <c r="D22" s="220"/>
      <c r="E22" s="220"/>
      <c r="F22" s="4"/>
      <c r="G22" s="20" t="s">
        <v>3</v>
      </c>
      <c r="H22" s="20" t="s">
        <v>18</v>
      </c>
    </row>
    <row r="23" spans="2:9" ht="146.25">
      <c r="B23" s="12" t="s">
        <v>29</v>
      </c>
      <c r="C23" s="180" t="s">
        <v>30</v>
      </c>
      <c r="D23" s="28" t="str" cm="1">
        <f t="array" ref="D23">IFERROR(INDEX('(수정금지) 기준정보'!$D$5:$D$13,MATCH(1,ISNUMBER(SEARCH('(수정금지) 기준정보'!$D$5:$D$13,C17))*1,0)),"없음")</f>
        <v>없음</v>
      </c>
      <c r="E23" s="10" t="s">
        <v>31</v>
      </c>
      <c r="F23" s="7"/>
      <c r="G23" s="25" t="s">
        <v>32</v>
      </c>
      <c r="H23" s="24" t="s">
        <v>33</v>
      </c>
    </row>
    <row r="24" spans="2:9" ht="78.75">
      <c r="B24" s="12" t="s">
        <v>34</v>
      </c>
      <c r="C24" s="180" t="s">
        <v>35</v>
      </c>
      <c r="D24" s="28" t="str" cm="1">
        <f t="array" ref="D24">IFERROR(INDEX('(수정금지) 기준정보'!$D$20:$D$31,MATCH(1,ISNUMBER(SEARCH('(수정금지) 기준정보'!$D$20:$D$31,C17))*1,0)),"없음")</f>
        <v>없음</v>
      </c>
      <c r="E24" s="10" t="s">
        <v>31</v>
      </c>
      <c r="F24" s="7"/>
      <c r="G24" s="17" t="s">
        <v>36</v>
      </c>
      <c r="H24" s="21" t="s">
        <v>37</v>
      </c>
    </row>
    <row r="25" spans="2:9" ht="48">
      <c r="B25" s="12" t="s">
        <v>38</v>
      </c>
      <c r="C25" s="60" t="s">
        <v>39</v>
      </c>
      <c r="D25" s="28" t="str" cm="1">
        <f t="array" ref="D25">IFERROR(INDEX('(수정금지) 기준정보'!$D$43:$D$45,MATCH(1,ISNUMBER(SEARCH('(수정금지) 기준정보'!$D$43:$D$45,C17))*1,0)),"없음")</f>
        <v>없음</v>
      </c>
      <c r="E25" s="10" t="s">
        <v>31</v>
      </c>
      <c r="F25" s="7"/>
      <c r="G25" s="17" t="s">
        <v>36</v>
      </c>
      <c r="H25" s="21" t="s">
        <v>40</v>
      </c>
    </row>
    <row r="26" spans="2:9" ht="37.5" customHeight="1">
      <c r="B26" s="12" t="s">
        <v>41</v>
      </c>
      <c r="C26" s="60" t="s">
        <v>42</v>
      </c>
      <c r="D26" s="28" t="str" cm="1">
        <f t="array" ref="D26">IFERROR(INDEX('(수정금지) 기준정보'!$D$47:$D$48,MATCH(1,ISNUMBER(SEARCH('(수정금지) 기준정보'!$D$47:$D$48,C17))*1,0)),"없음")</f>
        <v>없음</v>
      </c>
      <c r="E26" s="10" t="s">
        <v>31</v>
      </c>
      <c r="F26" s="7"/>
      <c r="G26" s="17" t="s">
        <v>36</v>
      </c>
      <c r="H26" s="21" t="s">
        <v>43</v>
      </c>
    </row>
    <row r="27" spans="2:9" ht="29.25" customHeight="1">
      <c r="B27" s="12" t="s">
        <v>44</v>
      </c>
      <c r="C27" s="60" t="s">
        <v>45</v>
      </c>
      <c r="D27" s="28" t="str">
        <f>IFERROR(IF(ISNUMBER(SEARCH('(수정금지) 기준정보'!$D$49,C17)),'(수정금지) 기준정보'!$D$49,"없음"),"없음")</f>
        <v>없음</v>
      </c>
      <c r="E27" s="10" t="s">
        <v>31</v>
      </c>
      <c r="F27" s="7"/>
      <c r="G27" s="17" t="s">
        <v>36</v>
      </c>
      <c r="H27" s="21" t="s">
        <v>46</v>
      </c>
    </row>
    <row r="28" spans="2:9" ht="51" customHeight="1">
      <c r="B28" s="12" t="s">
        <v>47</v>
      </c>
      <c r="C28" s="60" t="s">
        <v>48</v>
      </c>
      <c r="D28" s="28" t="str" cm="1">
        <f t="array" ref="D28">IFERROR(INDEX('(수정금지) 기준정보'!$D$55:$D$57,MATCH(1,ISNUMBER(SEARCH('(수정금지) 기준정보'!$D$55:$D$57,C17))*1,0)),"없음")</f>
        <v>없음</v>
      </c>
      <c r="E28" s="10" t="s">
        <v>31</v>
      </c>
      <c r="F28" s="7"/>
      <c r="G28" s="17" t="s">
        <v>36</v>
      </c>
      <c r="H28" s="21" t="s">
        <v>49</v>
      </c>
    </row>
    <row r="29" spans="2:9" ht="48.75" customHeight="1">
      <c r="B29" s="12" t="s">
        <v>50</v>
      </c>
      <c r="C29" s="60" t="s">
        <v>51</v>
      </c>
      <c r="D29" s="28" t="str" cm="1">
        <f t="array" ref="D29">IFERROR(INDEX('(수정금지) 기준정보'!$D$62:$D$64,MATCH(1,ISNUMBER(SEARCH('(수정금지) 기준정보'!$D$62:$D$64,C17))*1,0)),"없음")</f>
        <v>없음</v>
      </c>
      <c r="E29" s="10" t="s">
        <v>31</v>
      </c>
      <c r="F29" s="7"/>
      <c r="G29" s="17" t="s">
        <v>36</v>
      </c>
      <c r="H29" s="21" t="s">
        <v>52</v>
      </c>
    </row>
    <row r="30" spans="2:9" ht="96">
      <c r="B30" s="12" t="s">
        <v>53</v>
      </c>
      <c r="C30" s="59" t="s">
        <v>54</v>
      </c>
      <c r="D30" s="28" t="str" cm="1">
        <f t="array" ref="D30">IFERROR(INDEX('(수정금지) 기준정보'!$D$77:$D$84,MATCH(1,ISNUMBER(SEARCH('(수정금지) 기준정보'!$D$77:$D$84,C17))*1,0)),"없음")</f>
        <v>없음</v>
      </c>
      <c r="E30" s="10" t="s">
        <v>31</v>
      </c>
      <c r="F30" s="7"/>
      <c r="G30" s="17" t="s">
        <v>36</v>
      </c>
      <c r="H30" s="21" t="s">
        <v>55</v>
      </c>
    </row>
    <row r="31" spans="2:9" ht="60">
      <c r="B31" s="12" t="s">
        <v>56</v>
      </c>
      <c r="C31" s="59" t="s">
        <v>57</v>
      </c>
      <c r="D31" s="28" t="str" cm="1">
        <f t="array" ref="D31">IFERROR(INDEX('(수정금지) 기준정보'!$D$96:$D$101,MATCH(1,ISNUMBER(SEARCH('(수정금지) 기준정보'!$D$96:$D$101,C17))*1,0)),"없음")</f>
        <v>없음</v>
      </c>
      <c r="E31" s="10" t="s">
        <v>31</v>
      </c>
      <c r="F31" s="7"/>
      <c r="G31" s="17" t="s">
        <v>36</v>
      </c>
      <c r="H31" s="21" t="s">
        <v>58</v>
      </c>
    </row>
    <row r="32" spans="2:9" ht="48">
      <c r="B32" s="12" t="s">
        <v>59</v>
      </c>
      <c r="C32" s="60" t="s">
        <v>60</v>
      </c>
      <c r="D32" s="28" t="str" cm="1">
        <f t="array" ref="D32">IFERROR(INDEX('(수정금지) 기준정보'!$D$102:$D$104,MATCH(1,ISNUMBER(SEARCH('(수정금지) 기준정보'!$D$102:$D$104,C17))*1,0)),"없음")</f>
        <v>없음</v>
      </c>
      <c r="E32" s="10" t="s">
        <v>31</v>
      </c>
      <c r="F32" s="7"/>
      <c r="G32" s="17" t="s">
        <v>36</v>
      </c>
      <c r="H32" s="21" t="s">
        <v>61</v>
      </c>
    </row>
    <row r="33" spans="2:8" ht="45" customHeight="1">
      <c r="B33" s="12" t="s">
        <v>62</v>
      </c>
      <c r="C33" s="60" t="s">
        <v>63</v>
      </c>
      <c r="D33" s="28" t="str" cm="1">
        <f t="array" ref="D33">IFERROR(INDEX('(수정금지) 기준정보'!$D$106:$D$108,MATCH(1,ISNUMBER(SEARCH('(수정금지) 기준정보'!$D$106:$D$108,C17))*1,0)),"없음")</f>
        <v>없음</v>
      </c>
      <c r="E33" s="10" t="s">
        <v>31</v>
      </c>
      <c r="F33" s="7"/>
      <c r="G33" s="17" t="s">
        <v>36</v>
      </c>
      <c r="H33" s="21" t="s">
        <v>64</v>
      </c>
    </row>
    <row r="34" spans="2:8" ht="60">
      <c r="B34" s="12" t="s">
        <v>65</v>
      </c>
      <c r="C34" s="60" t="s">
        <v>66</v>
      </c>
      <c r="D34" s="28" t="str" cm="1">
        <f t="array" ref="D34">IFERROR(INDEX('(수정금지) 기준정보'!$D$114:$D$117,MATCH(1,ISNUMBER(SEARCH('(수정금지) 기준정보'!$D$114:$D$117,C17))*1,0)),"없음")</f>
        <v>없음</v>
      </c>
      <c r="E34" s="10" t="s">
        <v>31</v>
      </c>
      <c r="F34" s="7"/>
      <c r="G34" s="17" t="s">
        <v>36</v>
      </c>
      <c r="H34" s="21" t="s">
        <v>67</v>
      </c>
    </row>
    <row r="35" spans="2:8" ht="60">
      <c r="B35" s="12" t="s">
        <v>68</v>
      </c>
      <c r="C35" s="60" t="s">
        <v>69</v>
      </c>
      <c r="D35" s="28" t="str" cm="1">
        <f t="array" ref="D35">IFERROR(INDEX('(수정금지) 기준정보'!$D$119:$D$122,MATCH(1,ISNUMBER(SEARCH('(수정금지) 기준정보'!$D$119:$D$122,C17))*1,0)),"없음")</f>
        <v>없음</v>
      </c>
      <c r="E35" s="10" t="s">
        <v>31</v>
      </c>
      <c r="F35" s="7"/>
      <c r="G35" s="17" t="s">
        <v>36</v>
      </c>
      <c r="H35" s="21" t="s">
        <v>70</v>
      </c>
    </row>
    <row r="36" spans="2:8" ht="48">
      <c r="B36" s="12" t="s">
        <v>71</v>
      </c>
      <c r="C36" s="60" t="s">
        <v>72</v>
      </c>
      <c r="D36" s="28" t="str" cm="1">
        <f t="array" ref="D36">IFERROR(INDEX('(수정금지) 기준정보'!$D$123:$D$125,MATCH(1,ISNUMBER(SEARCH('(수정금지) 기준정보'!$D$123:$D$125,C17))*1,0)),"없음")</f>
        <v>없음</v>
      </c>
      <c r="E36" s="10" t="s">
        <v>31</v>
      </c>
      <c r="F36" s="7"/>
      <c r="G36" s="17" t="s">
        <v>36</v>
      </c>
      <c r="H36" s="21" t="s">
        <v>73</v>
      </c>
    </row>
    <row r="37" spans="2:8" ht="48">
      <c r="B37" s="12" t="s">
        <v>74</v>
      </c>
      <c r="C37" s="60" t="s">
        <v>75</v>
      </c>
      <c r="D37" s="28" t="str" cm="1">
        <f t="array" ref="D37">IFERROR(INDEX('(수정금지) 기준정보'!$D$127:$D$129,MATCH(1,ISNUMBER(SEARCH('(수정금지) 기준정보'!$D$127:$D$129,C17))*1,0)),"없음")</f>
        <v>없음</v>
      </c>
      <c r="E37" s="10" t="s">
        <v>31</v>
      </c>
      <c r="F37" s="7"/>
      <c r="G37" s="17" t="s">
        <v>36</v>
      </c>
      <c r="H37" s="21" t="s">
        <v>76</v>
      </c>
    </row>
    <row r="38" spans="2:8" ht="49.5" customHeight="1">
      <c r="B38" s="12" t="s">
        <v>77</v>
      </c>
      <c r="C38" s="60" t="s">
        <v>78</v>
      </c>
      <c r="D38" s="28" t="str" cm="1">
        <f t="array" ref="D38">IFERROR(INDEX('(수정금지) 기준정보'!$D$142:$D$144,MATCH(1,ISNUMBER(SEARCH('(수정금지) 기준정보'!$D$142:$D$144,C17))*1,0)),"없음")</f>
        <v>없음</v>
      </c>
      <c r="E38" s="10" t="s">
        <v>31</v>
      </c>
      <c r="F38" s="7"/>
      <c r="G38" s="17" t="s">
        <v>36</v>
      </c>
      <c r="H38" s="21" t="s">
        <v>79</v>
      </c>
    </row>
    <row r="39" spans="2:8" ht="60">
      <c r="B39" s="12" t="s">
        <v>80</v>
      </c>
      <c r="C39" s="60" t="s">
        <v>81</v>
      </c>
      <c r="D39" s="28" t="str" cm="1">
        <f t="array" ref="D39">IFERROR(INDEX('(수정금지) 기준정보'!$D$151:$D$154,MATCH(1,ISNUMBER(SEARCH('(수정금지) 기준정보'!$D$151:$D$154,C17))*1,0)),"없음")</f>
        <v>없음</v>
      </c>
      <c r="E39" s="10" t="s">
        <v>31</v>
      </c>
      <c r="F39" s="7"/>
      <c r="G39" s="17" t="s">
        <v>36</v>
      </c>
      <c r="H39" s="21" t="s">
        <v>82</v>
      </c>
    </row>
    <row r="40" spans="2:8" ht="27.75" customHeight="1">
      <c r="B40" s="12" t="s">
        <v>83</v>
      </c>
      <c r="C40" s="60" t="s">
        <v>84</v>
      </c>
      <c r="D40" s="28" t="str">
        <f>IFERROR(IF(ISNUMBER(SEARCH('(수정금지) 기준정보'!$D$203,C17)),'(수정금지) 기준정보'!$D$203,"없음"),"없음")</f>
        <v>없음</v>
      </c>
      <c r="E40" s="10" t="s">
        <v>31</v>
      </c>
      <c r="F40" s="7"/>
      <c r="G40" s="17" t="s">
        <v>36</v>
      </c>
      <c r="H40" s="21" t="s">
        <v>85</v>
      </c>
    </row>
    <row r="41" spans="2:8" ht="24" customHeight="1">
      <c r="B41" s="220" t="s">
        <v>86</v>
      </c>
      <c r="C41" s="220"/>
      <c r="D41" s="220"/>
      <c r="E41" s="220"/>
      <c r="F41" s="4"/>
      <c r="G41" s="13"/>
      <c r="H41" s="13"/>
    </row>
    <row r="42" spans="2:8" ht="37.5" customHeight="1">
      <c r="B42" s="12" t="s">
        <v>87</v>
      </c>
      <c r="C42" s="60" t="s">
        <v>88</v>
      </c>
      <c r="D42" s="26"/>
      <c r="E42" s="10" t="s">
        <v>89</v>
      </c>
      <c r="F42" s="7"/>
      <c r="G42" s="21" t="s">
        <v>90</v>
      </c>
      <c r="H42" s="21" t="s">
        <v>91</v>
      </c>
    </row>
    <row r="43" spans="2:8" ht="37.5" customHeight="1">
      <c r="B43" s="12" t="s">
        <v>92</v>
      </c>
      <c r="C43" s="60" t="s">
        <v>93</v>
      </c>
      <c r="D43" s="26"/>
      <c r="E43" s="11" t="s">
        <v>94</v>
      </c>
      <c r="F43" s="7"/>
      <c r="G43" s="21" t="s">
        <v>95</v>
      </c>
      <c r="H43" s="21" t="s">
        <v>96</v>
      </c>
    </row>
    <row r="44" spans="2:8" ht="24" customHeight="1">
      <c r="B44" s="220" t="s">
        <v>97</v>
      </c>
      <c r="C44" s="220"/>
      <c r="D44" s="220"/>
      <c r="E44" s="220"/>
      <c r="F44" s="4"/>
      <c r="G44" s="22"/>
      <c r="H44" s="22"/>
    </row>
    <row r="45" spans="2:8" ht="50.1" customHeight="1">
      <c r="B45" s="12" t="s">
        <v>98</v>
      </c>
      <c r="C45" s="60" t="s">
        <v>99</v>
      </c>
      <c r="D45" s="26"/>
      <c r="E45" s="11" t="s">
        <v>100</v>
      </c>
      <c r="F45" s="7"/>
      <c r="G45" s="21" t="s">
        <v>101</v>
      </c>
      <c r="H45" s="21" t="s">
        <v>102</v>
      </c>
    </row>
    <row r="46" spans="2:8" ht="50.1" customHeight="1">
      <c r="B46" s="12" t="s">
        <v>103</v>
      </c>
      <c r="C46" s="60" t="s">
        <v>99</v>
      </c>
      <c r="D46" s="26"/>
      <c r="E46" s="11" t="s">
        <v>100</v>
      </c>
      <c r="F46" s="7"/>
      <c r="G46" s="21" t="s">
        <v>104</v>
      </c>
      <c r="H46" s="21" t="s">
        <v>105</v>
      </c>
    </row>
    <row r="47" spans="2:8" ht="50.1" customHeight="1">
      <c r="B47" s="12" t="s">
        <v>106</v>
      </c>
      <c r="C47" s="60" t="s">
        <v>99</v>
      </c>
      <c r="D47" s="26"/>
      <c r="E47" s="11" t="s">
        <v>100</v>
      </c>
      <c r="F47" s="7"/>
      <c r="G47" s="21" t="s">
        <v>107</v>
      </c>
      <c r="H47" s="21" t="s">
        <v>108</v>
      </c>
    </row>
    <row r="48" spans="2:8" ht="50.1" customHeight="1">
      <c r="B48" s="12" t="s">
        <v>109</v>
      </c>
      <c r="C48" s="60" t="s">
        <v>110</v>
      </c>
      <c r="D48" s="61"/>
      <c r="E48" s="11" t="s">
        <v>111</v>
      </c>
      <c r="F48" s="7"/>
      <c r="G48" s="21" t="s">
        <v>112</v>
      </c>
      <c r="H48" s="21" t="s">
        <v>113</v>
      </c>
    </row>
    <row r="49" spans="2:8" ht="50.1" customHeight="1">
      <c r="B49" s="12" t="s">
        <v>114</v>
      </c>
      <c r="C49" s="60" t="s">
        <v>115</v>
      </c>
      <c r="D49" s="26"/>
      <c r="E49" s="11" t="s">
        <v>116</v>
      </c>
      <c r="F49" s="7"/>
      <c r="G49" s="21" t="s">
        <v>117</v>
      </c>
      <c r="H49" s="21" t="s">
        <v>118</v>
      </c>
    </row>
    <row r="50" spans="2:8" ht="24" customHeight="1">
      <c r="B50" s="220" t="s">
        <v>119</v>
      </c>
      <c r="C50" s="220"/>
      <c r="D50" s="220"/>
      <c r="E50" s="220"/>
      <c r="F50" s="4"/>
      <c r="G50" s="22"/>
      <c r="H50" s="22"/>
    </row>
    <row r="51" spans="2:8" ht="92.25" customHeight="1">
      <c r="B51" s="12" t="s">
        <v>120</v>
      </c>
      <c r="C51" s="59" t="s">
        <v>121</v>
      </c>
      <c r="D51" s="26"/>
      <c r="E51" s="11" t="s">
        <v>122</v>
      </c>
      <c r="F51" s="7"/>
      <c r="G51" s="21" t="s">
        <v>123</v>
      </c>
      <c r="H51" s="21" t="s">
        <v>124</v>
      </c>
    </row>
    <row r="52" spans="2:8" ht="54">
      <c r="B52" s="12" t="s">
        <v>125</v>
      </c>
      <c r="C52" s="60" t="s">
        <v>126</v>
      </c>
      <c r="D52" s="26"/>
      <c r="E52" s="11" t="s">
        <v>127</v>
      </c>
      <c r="F52" s="7"/>
      <c r="G52" s="21" t="s">
        <v>128</v>
      </c>
      <c r="H52" s="21" t="s">
        <v>129</v>
      </c>
    </row>
    <row r="53" spans="2:8" ht="50.1" customHeight="1">
      <c r="B53" s="12" t="s">
        <v>130</v>
      </c>
      <c r="C53" s="60" t="s">
        <v>131</v>
      </c>
      <c r="D53" s="26"/>
      <c r="E53" s="11" t="s">
        <v>100</v>
      </c>
      <c r="F53" s="7"/>
      <c r="G53" s="21" t="s">
        <v>132</v>
      </c>
      <c r="H53" s="21" t="s">
        <v>133</v>
      </c>
    </row>
    <row r="54" spans="2:8" ht="84">
      <c r="B54" s="12" t="s">
        <v>134</v>
      </c>
      <c r="C54" s="59" t="s">
        <v>135</v>
      </c>
      <c r="D54" s="26"/>
      <c r="E54" s="11" t="s">
        <v>136</v>
      </c>
      <c r="F54" s="7"/>
      <c r="G54" s="21" t="s">
        <v>135</v>
      </c>
      <c r="H54" s="21" t="s">
        <v>137</v>
      </c>
    </row>
    <row r="55" spans="2:8" ht="24" customHeight="1">
      <c r="B55" s="220" t="s">
        <v>138</v>
      </c>
      <c r="C55" s="220"/>
      <c r="D55" s="220"/>
      <c r="E55" s="220"/>
      <c r="F55" s="8"/>
      <c r="G55" s="23"/>
      <c r="H55" s="22"/>
    </row>
    <row r="56" spans="2:8" ht="81">
      <c r="B56" s="12" t="s">
        <v>139</v>
      </c>
      <c r="C56" s="60" t="s">
        <v>140</v>
      </c>
      <c r="D56" s="26"/>
      <c r="E56" s="11" t="s">
        <v>141</v>
      </c>
      <c r="F56" s="7"/>
      <c r="G56" s="21" t="s">
        <v>140</v>
      </c>
      <c r="H56" s="21" t="s">
        <v>142</v>
      </c>
    </row>
    <row r="57" spans="2:8" ht="81">
      <c r="B57" s="12" t="s">
        <v>143</v>
      </c>
      <c r="C57" s="60" t="s">
        <v>144</v>
      </c>
      <c r="D57" s="26"/>
      <c r="E57" s="11" t="s">
        <v>141</v>
      </c>
      <c r="F57" s="7"/>
      <c r="G57" s="21" t="s">
        <v>144</v>
      </c>
      <c r="H57" s="21" t="s">
        <v>145</v>
      </c>
    </row>
    <row r="58" spans="2:8" ht="36" customHeight="1">
      <c r="B58" s="12" t="s">
        <v>146</v>
      </c>
      <c r="C58" s="60" t="s">
        <v>147</v>
      </c>
      <c r="D58" s="26"/>
      <c r="E58" s="11" t="s">
        <v>148</v>
      </c>
      <c r="F58" s="7"/>
      <c r="G58" s="21" t="s">
        <v>149</v>
      </c>
      <c r="H58" s="21" t="s">
        <v>150</v>
      </c>
    </row>
    <row r="59" spans="2:8" ht="36" customHeight="1">
      <c r="B59" s="12" t="s">
        <v>151</v>
      </c>
      <c r="C59" s="60" t="s">
        <v>152</v>
      </c>
      <c r="D59" s="26"/>
      <c r="E59" s="11" t="s">
        <v>148</v>
      </c>
      <c r="F59" s="7"/>
      <c r="G59" s="21" t="s">
        <v>153</v>
      </c>
      <c r="H59" s="21" t="s">
        <v>154</v>
      </c>
    </row>
    <row r="60" spans="2:8" ht="81">
      <c r="B60" s="12" t="s">
        <v>155</v>
      </c>
      <c r="C60" s="60" t="s">
        <v>156</v>
      </c>
      <c r="D60" s="26"/>
      <c r="E60" s="11" t="s">
        <v>136</v>
      </c>
      <c r="F60" s="7"/>
      <c r="G60" s="21" t="s">
        <v>157</v>
      </c>
      <c r="H60" s="21" t="s">
        <v>158</v>
      </c>
    </row>
    <row r="61" spans="2:8" ht="24" customHeight="1">
      <c r="B61" s="220" t="s">
        <v>159</v>
      </c>
      <c r="C61" s="220"/>
      <c r="D61" s="220"/>
      <c r="E61" s="220"/>
      <c r="F61" s="4"/>
      <c r="G61" s="22"/>
      <c r="H61" s="22"/>
    </row>
    <row r="62" spans="2:8" ht="50.1" customHeight="1">
      <c r="B62" s="12" t="s">
        <v>160</v>
      </c>
      <c r="C62" s="60" t="s">
        <v>161</v>
      </c>
      <c r="D62" s="26"/>
      <c r="E62" s="11" t="s">
        <v>141</v>
      </c>
      <c r="F62" s="7"/>
      <c r="G62" s="21" t="s">
        <v>162</v>
      </c>
      <c r="H62" s="21" t="s">
        <v>163</v>
      </c>
    </row>
    <row r="63" spans="2:8" ht="50.1" customHeight="1">
      <c r="B63" s="12" t="s">
        <v>164</v>
      </c>
      <c r="C63" s="60" t="s">
        <v>165</v>
      </c>
      <c r="D63" s="26"/>
      <c r="E63" s="11" t="s">
        <v>141</v>
      </c>
      <c r="F63" s="7"/>
      <c r="G63" s="21" t="s">
        <v>166</v>
      </c>
      <c r="H63" s="21" t="s">
        <v>167</v>
      </c>
    </row>
    <row r="64" spans="2:8" ht="50.1" customHeight="1">
      <c r="B64" s="12" t="s">
        <v>168</v>
      </c>
      <c r="C64" s="60" t="s">
        <v>169</v>
      </c>
      <c r="D64" s="26"/>
      <c r="E64" s="11" t="s">
        <v>116</v>
      </c>
      <c r="F64" s="7"/>
      <c r="G64" s="21" t="s">
        <v>169</v>
      </c>
      <c r="H64" s="21" t="s">
        <v>170</v>
      </c>
    </row>
    <row r="65" spans="2:8" ht="50.1" customHeight="1">
      <c r="B65" s="12" t="s">
        <v>171</v>
      </c>
      <c r="C65" s="60" t="s">
        <v>172</v>
      </c>
      <c r="D65" s="26"/>
      <c r="E65" s="11" t="s">
        <v>173</v>
      </c>
      <c r="F65" s="7"/>
      <c r="G65" s="21" t="s">
        <v>172</v>
      </c>
      <c r="H65" s="21" t="s">
        <v>174</v>
      </c>
    </row>
    <row r="66" spans="2:8" ht="50.1" customHeight="1">
      <c r="B66" s="12" t="s">
        <v>175</v>
      </c>
      <c r="C66" s="60" t="s">
        <v>176</v>
      </c>
      <c r="D66" s="26"/>
      <c r="E66" s="11" t="s">
        <v>177</v>
      </c>
      <c r="F66" s="7"/>
      <c r="G66" s="21" t="s">
        <v>178</v>
      </c>
      <c r="H66" s="21" t="s">
        <v>179</v>
      </c>
    </row>
    <row r="67" spans="2:8" ht="35.25" customHeight="1">
      <c r="B67" s="12" t="s">
        <v>180</v>
      </c>
      <c r="C67" s="60" t="s">
        <v>181</v>
      </c>
      <c r="D67" s="26"/>
      <c r="E67" s="11" t="s">
        <v>182</v>
      </c>
      <c r="F67" s="7"/>
      <c r="G67" s="21" t="s">
        <v>181</v>
      </c>
      <c r="H67" s="21" t="s">
        <v>183</v>
      </c>
    </row>
    <row r="68" spans="2:8" ht="54">
      <c r="B68" s="12" t="s">
        <v>184</v>
      </c>
      <c r="C68" s="60" t="s">
        <v>185</v>
      </c>
      <c r="D68" s="27"/>
      <c r="E68" s="11" t="s">
        <v>136</v>
      </c>
      <c r="F68" s="7"/>
      <c r="G68" s="21" t="s">
        <v>186</v>
      </c>
      <c r="H68" s="21" t="s">
        <v>187</v>
      </c>
    </row>
  </sheetData>
  <mergeCells count="22">
    <mergeCell ref="B41:E41"/>
    <mergeCell ref="B50:E50"/>
    <mergeCell ref="B55:E55"/>
    <mergeCell ref="B61:E61"/>
    <mergeCell ref="A1:F1"/>
    <mergeCell ref="A2:F2"/>
    <mergeCell ref="B44:E44"/>
    <mergeCell ref="B4:E4"/>
    <mergeCell ref="C5:E5"/>
    <mergeCell ref="B22:E22"/>
    <mergeCell ref="G5:G6"/>
    <mergeCell ref="C6:E6"/>
    <mergeCell ref="B20:E20"/>
    <mergeCell ref="C7:E7"/>
    <mergeCell ref="B8:B13"/>
    <mergeCell ref="G8:G13"/>
    <mergeCell ref="C14:E14"/>
    <mergeCell ref="G14:G16"/>
    <mergeCell ref="C15:E15"/>
    <mergeCell ref="C16:E16"/>
    <mergeCell ref="B19:E19"/>
    <mergeCell ref="C17:E17"/>
  </mergeCells>
  <phoneticPr fontId="1" type="noConversion"/>
  <dataValidations count="1">
    <dataValidation type="list" sqref="D54" xr:uid="{00000000-0002-0000-0100-000015000000}">
      <formula1>"CMR급(다이옥신·HCN 등),GHS Cat1~2 독성,GHS Cat3~4 자극성,저독성·TLV이하,없음(CO₂·H₂O)"</formula1>
    </dataValidation>
  </dataValidations>
  <pageMargins left="0.23622047244094491" right="0.23622047244094491" top="0.74803149606299213" bottom="0.74803149606299213" header="0.31496062992125984" footer="0.31496062992125984"/>
  <pageSetup paperSize="9" scale="98" fitToHeight="0" orientation="portrait" r:id="rId1"/>
  <rowBreaks count="3" manualBreakCount="3">
    <brk id="18" max="5" man="1"/>
    <brk id="29" max="5" man="1"/>
    <brk id="54" max="5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13000000}">
          <x14:formula1>
            <xm:f>'(수정금지) 기준정보'!$E$197:$E$201</xm:f>
          </x14:formula1>
          <xm:sqref>D68</xm:sqref>
        </x14:dataValidation>
        <x14:dataValidation type="list" xr:uid="{00000000-0002-0000-0100-000014000000}">
          <x14:formula1>
            <xm:f>'(수정금지) 기준정보'!$E$50:$E$53</xm:f>
          </x14:formula1>
          <xm:sqref>D51</xm:sqref>
        </x14:dataValidation>
        <x14:dataValidation type="list" xr:uid="{00000000-0002-0000-0100-00000B000000}">
          <x14:formula1>
            <xm:f>'(수정금지) 기준정보'!$D$109:$D$113</xm:f>
          </x14:formula1>
          <xm:sqref>D60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T70"/>
  <sheetViews>
    <sheetView showGridLines="0" view="pageBreakPreview" zoomScaleNormal="70" zoomScaleSheetLayoutView="100" workbookViewId="0">
      <selection activeCell="A3" sqref="A3"/>
    </sheetView>
  </sheetViews>
  <sheetFormatPr defaultRowHeight="16.5"/>
  <cols>
    <col min="1" max="1" width="2.375" style="4" customWidth="1"/>
    <col min="2" max="2" width="5" style="4" customWidth="1"/>
    <col min="3" max="3" width="13.125" style="4" customWidth="1"/>
    <col min="4" max="4" width="34.625" style="4" customWidth="1"/>
    <col min="5" max="13" width="12.375" style="4" customWidth="1"/>
    <col min="14" max="14" width="2.375" style="4" customWidth="1"/>
    <col min="15" max="15" width="27.5" style="4" customWidth="1"/>
    <col min="16" max="16" width="9" style="4" customWidth="1"/>
    <col min="17" max="16384" width="9" style="4"/>
  </cols>
  <sheetData>
    <row r="1" spans="1:16" ht="33.950000000000003" customHeight="1">
      <c r="A1" s="221" t="s">
        <v>188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83"/>
    </row>
    <row r="2" spans="1:16" ht="20.100000000000001" customHeight="1">
      <c r="A2" s="222" t="s">
        <v>189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16" ht="8.1" customHeight="1"/>
    <row r="4" spans="1:16" ht="19.5" customHeight="1">
      <c r="B4" s="84" t="s">
        <v>190</v>
      </c>
    </row>
    <row r="5" spans="1:16" s="66" customFormat="1" ht="57" customHeight="1">
      <c r="A5" s="67"/>
      <c r="B5" s="245" t="s">
        <v>191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</row>
    <row r="6" spans="1:16" ht="19.5" customHeight="1">
      <c r="B6" s="261" t="s">
        <v>192</v>
      </c>
      <c r="C6" s="261" t="s">
        <v>24</v>
      </c>
      <c r="D6" s="261" t="s">
        <v>193</v>
      </c>
      <c r="E6" s="261" t="s">
        <v>194</v>
      </c>
      <c r="F6" s="263" t="s">
        <v>195</v>
      </c>
      <c r="G6" s="260" t="s">
        <v>196</v>
      </c>
      <c r="H6" s="260"/>
      <c r="I6" s="260"/>
      <c r="J6" s="260"/>
      <c r="K6" s="260"/>
      <c r="L6" s="260"/>
      <c r="M6" s="261" t="s">
        <v>197</v>
      </c>
    </row>
    <row r="7" spans="1:16" ht="31.5" customHeight="1" thickBot="1">
      <c r="B7" s="261"/>
      <c r="C7" s="261"/>
      <c r="D7" s="261"/>
      <c r="E7" s="261"/>
      <c r="F7" s="263"/>
      <c r="G7" s="85" t="s">
        <v>198</v>
      </c>
      <c r="H7" s="85" t="s">
        <v>199</v>
      </c>
      <c r="I7" s="69" t="s">
        <v>200</v>
      </c>
      <c r="J7" s="69" t="s">
        <v>201</v>
      </c>
      <c r="K7" s="69" t="s">
        <v>202</v>
      </c>
      <c r="L7" s="86" t="s">
        <v>203</v>
      </c>
      <c r="M7" s="261"/>
      <c r="N7" s="87"/>
      <c r="O7" s="88" t="s">
        <v>204</v>
      </c>
    </row>
    <row r="8" spans="1:16" ht="57.75" customHeight="1">
      <c r="B8" s="89">
        <v>1</v>
      </c>
      <c r="C8" s="90" t="s">
        <v>205</v>
      </c>
      <c r="D8" s="91" t="s">
        <v>206</v>
      </c>
      <c r="E8" s="178">
        <f>IFERROR(MAX(IF(OR('① 기초Data'!D26="H260",'① 기초Data'!D26="H261"),5,IF('① 기초Data'!D27="H290",4,IF('① 기초Data'!D51='(수정금지) 기준정보'!E50,4,IF('① 기초Data'!D51='(수정금지) 기준정보'!E51,3,IF('① 기초Data'!D51='(수정금지) 기준정보'!E52,2,1)))))),"?")</f>
        <v>1</v>
      </c>
      <c r="F8" s="92"/>
      <c r="G8" s="93" t="s">
        <v>207</v>
      </c>
      <c r="H8" s="93" t="s">
        <v>208</v>
      </c>
      <c r="I8" s="94" t="s">
        <v>209</v>
      </c>
      <c r="J8" s="94" t="s">
        <v>210</v>
      </c>
      <c r="K8" s="94" t="s">
        <v>211</v>
      </c>
      <c r="L8" s="94" t="s">
        <v>212</v>
      </c>
      <c r="M8" s="94"/>
      <c r="N8" s="95"/>
      <c r="O8" s="25" t="s">
        <v>213</v>
      </c>
    </row>
    <row r="9" spans="1:16" ht="57.75" customHeight="1">
      <c r="B9" s="89">
        <v>2</v>
      </c>
      <c r="C9" s="90" t="s">
        <v>205</v>
      </c>
      <c r="D9" s="91" t="s">
        <v>214</v>
      </c>
      <c r="E9" s="178">
        <f>IFERROR(MAX(IF('① 기초Data'!D28="H250",5,IF('① 기초Data'!D28="H251",4,IF('① 기초Data'!D28="H252",3,1))),
IF('① 기초Data'!D47&lt;54,5,IF('① 기초Data'!D47&lt;100,4, IF('① 기초Data'!D47&lt;200,3,1)))),"?")</f>
        <v>5</v>
      </c>
      <c r="F9" s="92"/>
      <c r="G9" s="93" t="s">
        <v>215</v>
      </c>
      <c r="H9" s="93">
        <v>0</v>
      </c>
      <c r="I9" s="94" t="s">
        <v>216</v>
      </c>
      <c r="J9" s="94" t="s">
        <v>217</v>
      </c>
      <c r="K9" s="94" t="s">
        <v>218</v>
      </c>
      <c r="L9" s="94" t="s">
        <v>219</v>
      </c>
      <c r="M9" s="94"/>
      <c r="N9" s="95"/>
      <c r="O9" s="21" t="s">
        <v>220</v>
      </c>
    </row>
    <row r="10" spans="1:16" ht="57.75" customHeight="1">
      <c r="B10" s="89">
        <v>3</v>
      </c>
      <c r="C10" s="90" t="s">
        <v>205</v>
      </c>
      <c r="D10" s="91" t="s">
        <v>221</v>
      </c>
      <c r="E10" s="178">
        <f>IFERROR(IF('① 기초Data'!D52&gt;=5,4,IF('① 기초Data'!D52&gt;=3,3,IF('① 기초Data'!D52&gt;=1,2,1))),"?")</f>
        <v>1</v>
      </c>
      <c r="F10" s="92"/>
      <c r="G10" s="93" t="s">
        <v>222</v>
      </c>
      <c r="H10" s="93" t="s">
        <v>223</v>
      </c>
      <c r="I10" s="94" t="s">
        <v>224</v>
      </c>
      <c r="J10" s="94" t="s">
        <v>225</v>
      </c>
      <c r="K10" s="94" t="s">
        <v>226</v>
      </c>
      <c r="L10" s="94" t="s">
        <v>227</v>
      </c>
      <c r="M10" s="94"/>
      <c r="N10" s="95"/>
      <c r="O10" s="21" t="s">
        <v>228</v>
      </c>
    </row>
    <row r="11" spans="1:16" ht="57.75" customHeight="1">
      <c r="B11" s="89">
        <v>4</v>
      </c>
      <c r="C11" s="90" t="s">
        <v>229</v>
      </c>
      <c r="D11" s="91" t="s">
        <v>230</v>
      </c>
      <c r="E11" s="178">
        <f>IFERROR(IF('① 기초Data'!D54="CMR급(다이옥신·HCN 등)",5,IF('① 기초Data'!D54="GHS Cat1~2 독성",4,IF('① 기초Data'!D54="GHS Cat3~4 자극성",3,IF('① 기초Data'!D54="저독성·TLV이하",2,1)))),"?")</f>
        <v>1</v>
      </c>
      <c r="F11" s="92"/>
      <c r="G11" s="93" t="s">
        <v>231</v>
      </c>
      <c r="H11" s="93" t="s">
        <v>232</v>
      </c>
      <c r="I11" s="94" t="s">
        <v>233</v>
      </c>
      <c r="J11" s="94" t="s">
        <v>234</v>
      </c>
      <c r="K11" s="94" t="s">
        <v>235</v>
      </c>
      <c r="L11" s="94" t="s">
        <v>236</v>
      </c>
      <c r="M11" s="94"/>
      <c r="N11" s="95"/>
      <c r="O11" s="21" t="s">
        <v>237</v>
      </c>
    </row>
    <row r="12" spans="1:16" ht="57.75" customHeight="1">
      <c r="B12" s="89">
        <v>5</v>
      </c>
      <c r="C12" s="90" t="s">
        <v>238</v>
      </c>
      <c r="D12" s="91" t="s">
        <v>239</v>
      </c>
      <c r="E12" s="178">
        <f>IFERROR(MAX(IF(OR('① 기초Data'!D24="H200",'① 기초Data'!D24="H201",'① 기초Data'!D24="H202",'① 기초Data'!D24="H203",'① 기초Data'!D24="H204",'① 기초Data'!D24="H205"),5,
    IF(OR('① 기초Data'!D24="H206",'① 기초Data'!D24="H240"),4,
    IF(OR('① 기초Data'!D24="H207",'① 기초Data'!D24="H241"),3,
    IF(OR('① 기초Data'!D24="H208",'① 기초Data'!D24="H242"),2,1)))),
    IF('① 기초Data'!D53&lt;100,4, IF('① 기초Data'!D53&lt;150,3, IF('① 기초Data'!D53&lt;300,2,1)))),"?")</f>
        <v>4</v>
      </c>
      <c r="F12" s="92"/>
      <c r="G12" s="93" t="s">
        <v>240</v>
      </c>
      <c r="H12" s="93" t="s">
        <v>241</v>
      </c>
      <c r="I12" s="94" t="s">
        <v>242</v>
      </c>
      <c r="J12" s="94" t="s">
        <v>243</v>
      </c>
      <c r="K12" s="94" t="s">
        <v>244</v>
      </c>
      <c r="L12" s="94" t="s">
        <v>245</v>
      </c>
      <c r="M12" s="94"/>
      <c r="N12" s="95"/>
      <c r="O12" s="21" t="s">
        <v>246</v>
      </c>
    </row>
    <row r="13" spans="1:16" ht="57.75" customHeight="1">
      <c r="B13" s="89">
        <v>6</v>
      </c>
      <c r="C13" s="90" t="s">
        <v>238</v>
      </c>
      <c r="D13" s="91" t="s">
        <v>247</v>
      </c>
      <c r="E13" s="96" t="s">
        <v>248</v>
      </c>
      <c r="F13" s="92"/>
      <c r="G13" s="93" t="s">
        <v>249</v>
      </c>
      <c r="H13" s="93" t="s">
        <v>250</v>
      </c>
      <c r="I13" s="94" t="s">
        <v>251</v>
      </c>
      <c r="J13" s="94" t="s">
        <v>252</v>
      </c>
      <c r="K13" s="94" t="s">
        <v>253</v>
      </c>
      <c r="L13" s="94" t="s">
        <v>254</v>
      </c>
      <c r="M13" s="94"/>
      <c r="N13" s="95"/>
      <c r="O13" s="21" t="s">
        <v>255</v>
      </c>
    </row>
    <row r="14" spans="1:16" ht="57.75" customHeight="1">
      <c r="B14" s="89">
        <v>7</v>
      </c>
      <c r="C14" s="90" t="s">
        <v>256</v>
      </c>
      <c r="D14" s="91" t="s">
        <v>29</v>
      </c>
      <c r="E14" s="178">
        <f>IFERROR(MAX(IF(OR('① 기초Data'!D23="H220",'① 기초Data'!D23="H222",'① 기초Data'!D23="H224"),5,
    IF(OR('① 기초Data'!D23="H221",'① 기초Data'!D23="H223",'① 기초Data'!D23="H225",'① 기초Data'!D23="H228"),4,
      IF(OR('① 기초Data'!D23="H226"),3, IF('① 기초Data'!D23="H227",2,1)))),
        IF('① 기초Data'!D45&gt;=93,1,IF('① 기초Data'!D45&gt;=60,2,IF('① 기초Data'!D45&gt;=23,3,
        IF(AND('① 기초Data'!D45&lt;23,'① 기초Data'!D46&gt;35),4,IF(AND('① 기초Data'!D45&lt;23,'① 기초Data'!D46&lt;=35),5,1)))))),"?")</f>
        <v>5</v>
      </c>
      <c r="F14" s="92"/>
      <c r="G14" s="93" t="s">
        <v>257</v>
      </c>
      <c r="H14" s="93" t="s">
        <v>258</v>
      </c>
      <c r="I14" s="94" t="s">
        <v>259</v>
      </c>
      <c r="J14" s="94" t="s">
        <v>260</v>
      </c>
      <c r="K14" s="94" t="s">
        <v>261</v>
      </c>
      <c r="L14" s="94" t="s">
        <v>262</v>
      </c>
      <c r="M14" s="94"/>
      <c r="N14" s="95"/>
      <c r="O14" s="21" t="s">
        <v>263</v>
      </c>
    </row>
    <row r="15" spans="1:16" ht="43.5" customHeight="1">
      <c r="B15" s="89">
        <v>8</v>
      </c>
      <c r="C15" s="90" t="s">
        <v>264</v>
      </c>
      <c r="D15" s="91" t="s">
        <v>265</v>
      </c>
      <c r="E15" s="178">
        <f>IFERROR(MAX(IF(OR('① 기초Data'!D24="H200",'① 기초Data'!D24="H201",'① 기초Data'!D24="H202"),5,
IF(OR('① 기초Data'!D24="H203",'① 기초Data'!D24="H204",'① 기초Data'!D24="H205"),4,1)),
IF('① 기초Data'!D25="H270",5,IF('① 기초Data'!D25="H271",4,IF('① 기초Data'!D25="H272 Cat2",3,IF('① 기초Data'!D25="H272 Cat3",2,1))))),"?")</f>
        <v>1</v>
      </c>
      <c r="F15" s="92"/>
      <c r="G15" s="93" t="s">
        <v>266</v>
      </c>
      <c r="H15" s="93" t="s">
        <v>267</v>
      </c>
      <c r="I15" s="94" t="s">
        <v>268</v>
      </c>
      <c r="J15" s="94" t="s">
        <v>269</v>
      </c>
      <c r="K15" s="94" t="s">
        <v>270</v>
      </c>
      <c r="L15" s="94" t="s">
        <v>271</v>
      </c>
      <c r="M15" s="94"/>
      <c r="N15" s="95"/>
      <c r="O15" s="21" t="s">
        <v>272</v>
      </c>
    </row>
    <row r="16" spans="1:16" ht="9.9499999999999993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35.1" customHeight="1">
      <c r="B17" s="253" t="s">
        <v>273</v>
      </c>
      <c r="C17" s="264"/>
      <c r="D17" s="264"/>
      <c r="E17" s="267">
        <f>SUM(F8:F15)</f>
        <v>0</v>
      </c>
      <c r="F17" s="267"/>
      <c r="G17" s="265" t="s">
        <v>274</v>
      </c>
      <c r="H17" s="333"/>
      <c r="I17" s="333"/>
      <c r="J17" s="333"/>
      <c r="K17" s="333"/>
      <c r="L17" s="333"/>
      <c r="M17" s="333"/>
      <c r="N17" s="3"/>
    </row>
    <row r="18" spans="1:16" ht="35.1" customHeight="1">
      <c r="B18" s="264" t="s">
        <v>275</v>
      </c>
      <c r="C18" s="264"/>
      <c r="D18" s="264"/>
      <c r="E18" s="268">
        <f>IF(MAX(F8:F15)&gt;=5,2,IF(MAX(F8:F15)&gt;=4,1,0))</f>
        <v>0</v>
      </c>
      <c r="F18" s="268"/>
      <c r="G18" s="265" t="s">
        <v>276</v>
      </c>
      <c r="H18" s="333"/>
      <c r="I18" s="333"/>
      <c r="J18" s="333"/>
      <c r="K18" s="333"/>
      <c r="L18" s="333"/>
      <c r="M18" s="333"/>
      <c r="N18" s="3"/>
    </row>
    <row r="19" spans="1:16" ht="35.1" customHeight="1">
      <c r="B19" s="253" t="s">
        <v>277</v>
      </c>
      <c r="C19" s="253"/>
      <c r="D19" s="256"/>
      <c r="E19" s="269">
        <f>MIN(40,E17+E18)</f>
        <v>0</v>
      </c>
      <c r="F19" s="269"/>
      <c r="G19" s="266" t="s">
        <v>278</v>
      </c>
      <c r="H19" s="333"/>
      <c r="I19" s="333"/>
      <c r="J19" s="333"/>
      <c r="K19" s="333"/>
      <c r="L19" s="333"/>
      <c r="M19" s="333"/>
      <c r="N19" s="3"/>
    </row>
    <row r="20" spans="1:16" ht="35.1" customHeight="1">
      <c r="A20" s="97"/>
      <c r="B20" s="228" t="s">
        <v>279</v>
      </c>
      <c r="C20" s="228"/>
      <c r="D20" s="241"/>
      <c r="E20" s="270">
        <f>IF(E19&lt;8.5,1,IF(E19&lt;16.5,2,IF(E19&lt;24.5,3,IF(E19&lt;33.5,4,5))))</f>
        <v>1</v>
      </c>
      <c r="F20" s="270"/>
      <c r="G20" s="243" t="s">
        <v>280</v>
      </c>
      <c r="H20" s="334"/>
      <c r="I20" s="334"/>
      <c r="J20" s="334"/>
      <c r="K20" s="334"/>
      <c r="L20" s="334"/>
      <c r="M20" s="334"/>
      <c r="N20" s="3"/>
    </row>
    <row r="21" spans="1:16" ht="19.5" customHeight="1">
      <c r="G21" s="98"/>
      <c r="H21" s="98"/>
      <c r="I21" s="98"/>
      <c r="J21" s="98"/>
      <c r="K21" s="98"/>
      <c r="L21" s="98"/>
      <c r="M21" s="98"/>
    </row>
    <row r="22" spans="1:16" ht="19.5" customHeight="1">
      <c r="B22" s="84" t="s">
        <v>281</v>
      </c>
      <c r="G22" s="98"/>
      <c r="H22" s="98"/>
      <c r="I22" s="98"/>
      <c r="J22" s="98"/>
      <c r="K22" s="98"/>
      <c r="L22" s="98"/>
      <c r="M22" s="98"/>
    </row>
    <row r="23" spans="1:16" s="66" customFormat="1" ht="36.75" customHeight="1">
      <c r="A23" s="67"/>
      <c r="B23" s="245" t="s">
        <v>282</v>
      </c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</row>
    <row r="24" spans="1:16" ht="35.1" customHeight="1">
      <c r="B24" s="253" t="s">
        <v>283</v>
      </c>
      <c r="C24" s="253"/>
      <c r="D24" s="99"/>
      <c r="E24" s="251" t="str">
        <f>IFERROR(VLOOKUP(D24,'(수정금지) 기준정보'!C212:F217,4,FALSE),"")</f>
        <v/>
      </c>
      <c r="F24" s="252"/>
      <c r="G24" s="230" t="s">
        <v>284</v>
      </c>
      <c r="H24" s="334"/>
      <c r="I24" s="334"/>
      <c r="J24" s="334"/>
      <c r="K24" s="334"/>
      <c r="L24" s="334"/>
      <c r="M24" s="334"/>
      <c r="N24" s="100"/>
      <c r="O24" s="100"/>
    </row>
    <row r="25" spans="1:16" ht="35.1" customHeight="1">
      <c r="B25" s="253" t="s">
        <v>285</v>
      </c>
      <c r="C25" s="253"/>
      <c r="D25" s="99"/>
      <c r="E25" s="251" t="str">
        <f>IFERROR(VLOOKUP(D25,'(수정금지) 기준정보'!D212:F217,3,FALSE),"")</f>
        <v/>
      </c>
      <c r="F25" s="252"/>
      <c r="G25" s="230" t="s">
        <v>286</v>
      </c>
      <c r="H25" s="334"/>
      <c r="I25" s="334"/>
      <c r="J25" s="334"/>
      <c r="K25" s="334"/>
      <c r="L25" s="334"/>
      <c r="M25" s="334"/>
      <c r="N25" s="100"/>
      <c r="O25" s="100"/>
    </row>
    <row r="26" spans="1:16" ht="35.1" customHeight="1">
      <c r="B26" s="256" t="s">
        <v>287</v>
      </c>
      <c r="C26" s="257"/>
      <c r="D26" s="99"/>
      <c r="E26" s="251" t="str">
        <f>IFERROR(VLOOKUP(D26,'(수정금지) 기준정보'!E212:F217,2,FALSE),"")</f>
        <v/>
      </c>
      <c r="F26" s="252"/>
      <c r="G26" s="254" t="s">
        <v>288</v>
      </c>
      <c r="H26" s="255"/>
      <c r="I26" s="255"/>
      <c r="J26" s="255"/>
      <c r="K26" s="255"/>
      <c r="L26" s="255"/>
      <c r="M26" s="243"/>
      <c r="N26" s="100"/>
      <c r="O26" s="100"/>
    </row>
    <row r="27" spans="1:16" ht="35.1" customHeight="1">
      <c r="B27" s="253" t="s">
        <v>289</v>
      </c>
      <c r="C27" s="253"/>
      <c r="D27" s="253"/>
      <c r="E27" s="271">
        <f>SUM(E24:E26)</f>
        <v>0</v>
      </c>
      <c r="F27" s="272"/>
      <c r="G27" s="230" t="s">
        <v>290</v>
      </c>
      <c r="H27" s="334"/>
      <c r="I27" s="334"/>
      <c r="J27" s="334"/>
      <c r="K27" s="334"/>
      <c r="L27" s="334"/>
      <c r="M27" s="334"/>
      <c r="N27" s="100"/>
      <c r="O27" s="100"/>
    </row>
    <row r="28" spans="1:16" ht="35.1" customHeight="1">
      <c r="B28" s="228" t="s">
        <v>291</v>
      </c>
      <c r="C28" s="228"/>
      <c r="D28" s="241"/>
      <c r="E28" s="270">
        <f>IF(E27&lt;3.5,1,IF(E27&lt;6.5,2,IF(E27&lt;9.5,3,IF(E27&lt;12.5,4,5))))</f>
        <v>1</v>
      </c>
      <c r="F28" s="270"/>
      <c r="G28" s="243" t="s">
        <v>292</v>
      </c>
      <c r="H28" s="334"/>
      <c r="I28" s="334"/>
      <c r="J28" s="334"/>
      <c r="K28" s="334"/>
      <c r="L28" s="334"/>
      <c r="M28" s="334"/>
      <c r="N28" s="100"/>
      <c r="O28" s="100"/>
    </row>
    <row r="29" spans="1:16" ht="12" customHeight="1">
      <c r="A29" s="97"/>
      <c r="B29" s="97"/>
      <c r="C29" s="97"/>
      <c r="D29" s="97"/>
      <c r="E29" s="97"/>
      <c r="F29" s="97"/>
      <c r="G29" s="101"/>
      <c r="H29" s="101"/>
      <c r="I29" s="101"/>
      <c r="J29" s="101"/>
      <c r="K29" s="101"/>
      <c r="L29" s="101"/>
      <c r="M29" s="101"/>
      <c r="N29" s="3"/>
      <c r="P29" s="97"/>
    </row>
    <row r="30" spans="1:16" ht="19.5" customHeight="1">
      <c r="B30" s="84" t="s">
        <v>293</v>
      </c>
      <c r="G30" s="98"/>
      <c r="H30" s="98"/>
      <c r="I30" s="98"/>
      <c r="J30" s="98"/>
      <c r="K30" s="98"/>
      <c r="L30" s="98"/>
      <c r="M30" s="98"/>
      <c r="N30" s="3"/>
    </row>
    <row r="31" spans="1:16" s="66" customFormat="1" ht="24" customHeight="1">
      <c r="A31" s="67"/>
      <c r="B31" s="245" t="s">
        <v>294</v>
      </c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</row>
    <row r="32" spans="1:16" ht="35.1" customHeight="1">
      <c r="A32" s="97"/>
      <c r="B32" s="228" t="s">
        <v>295</v>
      </c>
      <c r="C32" s="228"/>
      <c r="D32" s="228"/>
      <c r="E32" s="229">
        <f>E20*E28</f>
        <v>1</v>
      </c>
      <c r="F32" s="229"/>
      <c r="G32" s="230" t="s">
        <v>296</v>
      </c>
      <c r="H32" s="334"/>
      <c r="I32" s="334"/>
      <c r="J32" s="334"/>
      <c r="K32" s="334"/>
      <c r="L32" s="334"/>
      <c r="M32" s="334"/>
      <c r="P32" s="97"/>
    </row>
    <row r="33" spans="1:16" ht="35.1" customHeight="1">
      <c r="A33" s="97"/>
      <c r="B33" s="228" t="s">
        <v>297</v>
      </c>
      <c r="C33" s="228"/>
      <c r="D33" s="228"/>
      <c r="E33" s="229" t="str">
        <f>IF(E32&lt;3.5,"낮음",IF(E32&lt;8.5,"보통",IF(E32&lt;16.5,"높음","매우 높음")))</f>
        <v>낮음</v>
      </c>
      <c r="F33" s="229"/>
      <c r="G33" s="247" t="str">
        <f>IF(E32&lt;=8,"✅ 허용 가능","🟠 허용 불가 — 저감대책 적용하여 위험도 감소(8이하) 후 도입 가능
     ☞ 하단의 'Ⅳ. 위험성 저감대책 수립' 필수 작성")</f>
        <v>✅ 허용 가능</v>
      </c>
      <c r="H33" s="247"/>
      <c r="I33" s="247"/>
      <c r="J33" s="247"/>
      <c r="K33" s="247"/>
      <c r="L33" s="247"/>
      <c r="M33" s="247"/>
      <c r="P33" s="97"/>
    </row>
    <row r="34" spans="1:16" ht="14.1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P34" s="97"/>
    </row>
    <row r="35" spans="1:16" ht="19.5" customHeight="1">
      <c r="B35" s="84" t="s">
        <v>298</v>
      </c>
    </row>
    <row r="36" spans="1:16" s="66" customFormat="1" ht="65.25" customHeight="1">
      <c r="A36" s="67"/>
      <c r="B36" s="246" t="s">
        <v>299</v>
      </c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</row>
    <row r="37" spans="1:16" s="66" customFormat="1" ht="12" customHeight="1">
      <c r="A37" s="67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</row>
    <row r="38" spans="1:16" ht="19.5" customHeight="1">
      <c r="B38" s="103" t="s">
        <v>300</v>
      </c>
    </row>
    <row r="39" spans="1:16" ht="70.5" customHeight="1">
      <c r="A39" s="104"/>
      <c r="B39" s="245" t="s">
        <v>301</v>
      </c>
      <c r="C39" s="245"/>
      <c r="D39" s="245"/>
      <c r="E39" s="245"/>
      <c r="F39" s="246"/>
      <c r="G39" s="246"/>
      <c r="H39" s="246"/>
      <c r="I39" s="246"/>
      <c r="J39" s="246"/>
      <c r="K39" s="246"/>
      <c r="L39" s="246"/>
      <c r="M39" s="246"/>
      <c r="N39" s="102"/>
      <c r="O39" s="104"/>
    </row>
    <row r="40" spans="1:16" ht="16.5" customHeight="1">
      <c r="A40" s="104"/>
      <c r="B40" s="235" t="s">
        <v>302</v>
      </c>
      <c r="C40" s="235" t="s">
        <v>303</v>
      </c>
      <c r="D40" s="235" t="s">
        <v>304</v>
      </c>
      <c r="E40" s="238" t="s">
        <v>305</v>
      </c>
      <c r="F40" s="226" t="s">
        <v>306</v>
      </c>
      <c r="G40" s="227"/>
      <c r="H40" s="227"/>
      <c r="I40" s="227"/>
      <c r="J40" s="227"/>
      <c r="K40" s="227"/>
      <c r="L40" s="227"/>
      <c r="M40" s="227"/>
      <c r="N40" s="105"/>
      <c r="O40" s="104"/>
    </row>
    <row r="41" spans="1:16" ht="16.5" customHeight="1">
      <c r="A41" s="104"/>
      <c r="B41" s="236"/>
      <c r="C41" s="236"/>
      <c r="D41" s="236"/>
      <c r="E41" s="239"/>
      <c r="F41" s="226" t="s">
        <v>307</v>
      </c>
      <c r="G41" s="227"/>
      <c r="H41" s="227" t="s">
        <v>308</v>
      </c>
      <c r="I41" s="227"/>
      <c r="J41" s="227" t="s">
        <v>309</v>
      </c>
      <c r="K41" s="227"/>
      <c r="L41" s="227" t="s">
        <v>310</v>
      </c>
      <c r="M41" s="227"/>
      <c r="N41" s="105"/>
      <c r="O41" s="104"/>
    </row>
    <row r="42" spans="1:16" ht="16.5" customHeight="1">
      <c r="A42" s="104"/>
      <c r="B42" s="237"/>
      <c r="C42" s="237"/>
      <c r="D42" s="237"/>
      <c r="E42" s="240"/>
      <c r="F42" s="106" t="s">
        <v>311</v>
      </c>
      <c r="G42" s="107" t="s">
        <v>312</v>
      </c>
      <c r="H42" s="107" t="s">
        <v>311</v>
      </c>
      <c r="I42" s="107" t="s">
        <v>312</v>
      </c>
      <c r="J42" s="107" t="s">
        <v>311</v>
      </c>
      <c r="K42" s="107" t="s">
        <v>312</v>
      </c>
      <c r="L42" s="107" t="s">
        <v>311</v>
      </c>
      <c r="M42" s="107" t="s">
        <v>312</v>
      </c>
      <c r="N42" s="105"/>
      <c r="O42" s="104"/>
    </row>
    <row r="43" spans="1:16" ht="33.950000000000003" customHeight="1">
      <c r="A43" s="104"/>
      <c r="B43" s="108" t="s">
        <v>313</v>
      </c>
      <c r="C43" s="109">
        <f>B8</f>
        <v>1</v>
      </c>
      <c r="D43" s="110" t="str">
        <f>D8</f>
        <v>물·산·염기와의 접촉 반응성 (발열, 가스 발생 등)</v>
      </c>
      <c r="E43" s="111">
        <f>F8</f>
        <v>0</v>
      </c>
      <c r="F43" s="112" t="str">
        <f>IF(E43&gt;=4, "PC-E-03", "—")</f>
        <v>—</v>
      </c>
      <c r="G43" s="113" t="str">
        <f>IFERROR(VLOOKUP(F43,'⑥ 저감대책DB'!$B:$H,5,FALSE()),"")</f>
        <v/>
      </c>
      <c r="H43" s="109" t="str">
        <f>IF(E43&gt;=4, "PC-O-04", "—")</f>
        <v>—</v>
      </c>
      <c r="I43" s="113" t="str">
        <f>IFERROR(VLOOKUP(H43,'⑥ 저감대책DB'!$B:$H,5,FALSE()),"")</f>
        <v/>
      </c>
      <c r="J43" s="109" t="str">
        <f>IF(E43&gt;=4, "PC-A-02", "—")</f>
        <v>—</v>
      </c>
      <c r="K43" s="113" t="str">
        <f>IFERROR(VLOOKUP(J43,'⑥ 저감대책DB'!$B:$H,5,FALSE()),"")</f>
        <v/>
      </c>
      <c r="L43" s="109" t="str">
        <f>IF(E43&gt;=4, "PC-P-02", "—")</f>
        <v>—</v>
      </c>
      <c r="M43" s="113" t="str">
        <f>IFERROR(VLOOKUP(L43,'⑥ 저감대책DB'!$B:$H,5,FALSE()),"")</f>
        <v/>
      </c>
      <c r="N43" s="105"/>
      <c r="O43" s="104"/>
    </row>
    <row r="44" spans="1:16" ht="33.950000000000003" customHeight="1">
      <c r="A44" s="104"/>
      <c r="B44" s="108" t="s">
        <v>313</v>
      </c>
      <c r="C44" s="109">
        <f t="shared" ref="C44:C50" si="0">B9</f>
        <v>2</v>
      </c>
      <c r="D44" s="110" t="str">
        <f t="shared" ref="D44:D50" si="1">D9</f>
        <v>공기·수분 반응·자연발화 (흡습 발열, 자기발화)</v>
      </c>
      <c r="E44" s="111">
        <f t="shared" ref="E44:E50" si="2">F9</f>
        <v>0</v>
      </c>
      <c r="F44" s="112" t="str">
        <f>IF(E44&gt;=4, "PC-E-05", "—")</f>
        <v>—</v>
      </c>
      <c r="G44" s="113" t="str">
        <f>IFERROR(VLOOKUP(F44,'⑥ 저감대책DB'!$B:$H,5,FALSE()),"")</f>
        <v/>
      </c>
      <c r="H44" s="109" t="str">
        <f>IF(E44&gt;=4, "PC-O-03", "—")</f>
        <v>—</v>
      </c>
      <c r="I44" s="113" t="str">
        <f>IFERROR(VLOOKUP(H44,'⑥ 저감대책DB'!$B:$H,5,FALSE()),"")</f>
        <v/>
      </c>
      <c r="J44" s="109" t="str">
        <f>IF(E44&gt;=4, "PC-A-03", "—")</f>
        <v>—</v>
      </c>
      <c r="K44" s="113" t="str">
        <f>IFERROR(VLOOKUP(J44,'⑥ 저감대책DB'!$B:$H,5,FALSE()),"")</f>
        <v/>
      </c>
      <c r="L44" s="109" t="str">
        <f>IF(E44&gt;=4, "PC-P-01", "—")</f>
        <v>—</v>
      </c>
      <c r="M44" s="113" t="str">
        <f>IFERROR(VLOOKUP(L44,'⑥ 저감대책DB'!$B:$H,5,FALSE()),"")</f>
        <v/>
      </c>
      <c r="N44" s="105"/>
      <c r="O44" s="104"/>
    </row>
    <row r="45" spans="1:16" ht="33.950000000000003" customHeight="1">
      <c r="B45" s="108" t="s">
        <v>313</v>
      </c>
      <c r="C45" s="109">
        <f t="shared" si="0"/>
        <v>3</v>
      </c>
      <c r="D45" s="110" t="str">
        <f t="shared" si="1"/>
        <v>혼합 위험 반응성 (금기물질·혼합금지 성분)</v>
      </c>
      <c r="E45" s="111">
        <f t="shared" si="2"/>
        <v>0</v>
      </c>
      <c r="F45" s="114" t="str">
        <f>IF(E45&gt;=4, "PC-E-10", "—")</f>
        <v>—</v>
      </c>
      <c r="G45" s="113" t="str">
        <f>IFERROR(VLOOKUP(F45,'⑥ 저감대책DB'!$B:$H,5,FALSE()),"")</f>
        <v/>
      </c>
      <c r="H45" s="115" t="str">
        <f>IF(E45&gt;=4, "PC-O-04", "—")</f>
        <v>—</v>
      </c>
      <c r="I45" s="113" t="str">
        <f>IFERROR(VLOOKUP(H45,'⑥ 저감대책DB'!$B:$H,5,FALSE()),"")</f>
        <v/>
      </c>
      <c r="J45" s="115" t="str">
        <f>IF(E45&gt;=4, "PC-A-02", "—")</f>
        <v>—</v>
      </c>
      <c r="K45" s="113" t="str">
        <f>IFERROR(VLOOKUP(J45,'⑥ 저감대책DB'!$B:$H,5,FALSE()),"")</f>
        <v/>
      </c>
      <c r="L45" s="115" t="str">
        <f>IF(E45&gt;=4, "—", "—")</f>
        <v>—</v>
      </c>
      <c r="M45" s="113" t="str">
        <f>IFERROR(VLOOKUP(L45,'⑥ 저감대책DB'!$B:$H,5,FALSE()),"")</f>
        <v/>
      </c>
      <c r="N45" s="105"/>
    </row>
    <row r="46" spans="1:16" ht="33.950000000000003" customHeight="1">
      <c r="B46" s="108" t="s">
        <v>313</v>
      </c>
      <c r="C46" s="109">
        <f t="shared" si="0"/>
        <v>4</v>
      </c>
      <c r="D46" s="110" t="str">
        <f t="shared" si="1"/>
        <v>독성 부산물·분해·연소 생성물</v>
      </c>
      <c r="E46" s="111">
        <f t="shared" si="2"/>
        <v>0</v>
      </c>
      <c r="F46" s="114" t="str">
        <f>IF(E46&gt;=4, "PC-E-11", "—")</f>
        <v>—</v>
      </c>
      <c r="G46" s="113" t="str">
        <f>IFERROR(VLOOKUP(F46,'⑥ 저감대책DB'!$B:$H,5,FALSE()),"")</f>
        <v/>
      </c>
      <c r="H46" s="115" t="str">
        <f>IF(E46&gt;=4, "—", "—")</f>
        <v>—</v>
      </c>
      <c r="I46" s="113" t="str">
        <f>IFERROR(VLOOKUP(H46,'⑥ 저감대책DB'!$B:$H,5,FALSE()),"")</f>
        <v/>
      </c>
      <c r="J46" s="115" t="str">
        <f>IF(E46&gt;=4, "PC-A-04", "—")</f>
        <v>—</v>
      </c>
      <c r="K46" s="113" t="str">
        <f>IFERROR(VLOOKUP(J46,'⑥ 저감대책DB'!$B:$H,5,FALSE()),"")</f>
        <v/>
      </c>
      <c r="L46" s="115" t="str">
        <f>IF(E46&gt;=4, "PC-P-01", "—")</f>
        <v>—</v>
      </c>
      <c r="M46" s="113" t="str">
        <f>IFERROR(VLOOKUP(L46,'⑥ 저감대책DB'!$B:$H,5,FALSE()),"")</f>
        <v/>
      </c>
      <c r="N46" s="105"/>
    </row>
    <row r="47" spans="1:16" ht="33.950000000000003" customHeight="1">
      <c r="B47" s="108" t="s">
        <v>313</v>
      </c>
      <c r="C47" s="109">
        <f t="shared" si="0"/>
        <v>5</v>
      </c>
      <c r="D47" s="110" t="str">
        <f t="shared" si="1"/>
        <v>폭발·급분해 불안정성 (열·충격·마찰·정전기)</v>
      </c>
      <c r="E47" s="111">
        <f t="shared" si="2"/>
        <v>0</v>
      </c>
      <c r="F47" s="114" t="str">
        <f>IF(E47&gt;=4, "PC-E-08", "—")</f>
        <v>—</v>
      </c>
      <c r="G47" s="113" t="str">
        <f>IFERROR(VLOOKUP(F47,'⑥ 저감대책DB'!$B:$H,5,FALSE()),"")</f>
        <v/>
      </c>
      <c r="H47" s="115" t="str">
        <f>IF(E47&gt;=4, "PC-O-03", "—")</f>
        <v>—</v>
      </c>
      <c r="I47" s="113" t="str">
        <f>IFERROR(VLOOKUP(H47,'⑥ 저감대책DB'!$B:$H,5,FALSE()),"")</f>
        <v/>
      </c>
      <c r="J47" s="115" t="str">
        <f>IF(E47&gt;=4, "PC-A-04", "—")</f>
        <v>—</v>
      </c>
      <c r="K47" s="113" t="str">
        <f>IFERROR(VLOOKUP(J47,'⑥ 저감대책DB'!$B:$H,5,FALSE()),"")</f>
        <v/>
      </c>
      <c r="L47" s="115" t="str">
        <f>IF(E47&gt;=4, "PC-P-01", "—")</f>
        <v>—</v>
      </c>
      <c r="M47" s="113" t="str">
        <f>IFERROR(VLOOKUP(L47,'⑥ 저감대책DB'!$B:$H,5,FALSE()),"")</f>
        <v/>
      </c>
      <c r="N47" s="105"/>
    </row>
    <row r="48" spans="1:16" ht="33.950000000000003" customHeight="1">
      <c r="B48" s="108" t="s">
        <v>313</v>
      </c>
      <c r="C48" s="109">
        <f t="shared" si="0"/>
        <v>6</v>
      </c>
      <c r="D48" s="110" t="str">
        <f t="shared" si="1"/>
        <v>저장 불안정성 (과산화물·자발중합·변질)</v>
      </c>
      <c r="E48" s="111">
        <f t="shared" si="2"/>
        <v>0</v>
      </c>
      <c r="F48" s="114" t="str">
        <f>IF(E48&gt;=4, "PC-E-05", "—")</f>
        <v>—</v>
      </c>
      <c r="G48" s="113" t="str">
        <f>IFERROR(VLOOKUP(F48,'⑥ 저감대책DB'!$B:$H,5,FALSE()),"")</f>
        <v/>
      </c>
      <c r="H48" s="115" t="str">
        <f>IF(E48&gt;=4, "PC-O-05", "—")</f>
        <v>—</v>
      </c>
      <c r="I48" s="113" t="str">
        <f>IFERROR(VLOOKUP(H48,'⑥ 저감대책DB'!$B:$H,5,FALSE()),"")</f>
        <v/>
      </c>
      <c r="J48" s="115" t="str">
        <f>IF(E48&gt;=4, "PC-A-02", "—")</f>
        <v>—</v>
      </c>
      <c r="K48" s="113" t="str">
        <f>IFERROR(VLOOKUP(J48,'⑥ 저감대책DB'!$B:$H,5,FALSE()),"")</f>
        <v/>
      </c>
      <c r="L48" s="115" t="str">
        <f>IF(E48&gt;=4, "—", "—")</f>
        <v>—</v>
      </c>
      <c r="M48" s="113" t="str">
        <f>IFERROR(VLOOKUP(L48,'⑥ 저감대책DB'!$B:$H,5,FALSE()),"")</f>
        <v/>
      </c>
      <c r="N48" s="105"/>
    </row>
    <row r="49" spans="1:20" ht="33.950000000000003" customHeight="1">
      <c r="B49" s="108" t="s">
        <v>313</v>
      </c>
      <c r="C49" s="109">
        <f t="shared" si="0"/>
        <v>7</v>
      </c>
      <c r="D49" s="110" t="str">
        <f t="shared" si="1"/>
        <v>인화성</v>
      </c>
      <c r="E49" s="111">
        <f t="shared" si="2"/>
        <v>0</v>
      </c>
      <c r="F49" s="114" t="str">
        <f>IF(E49&gt;=4, "PC-E-04", "—")</f>
        <v>—</v>
      </c>
      <c r="G49" s="113" t="str">
        <f>IFERROR(VLOOKUP(F49,'⑥ 저감대책DB'!$B:$H,5,FALSE()),"")</f>
        <v/>
      </c>
      <c r="H49" s="115" t="str">
        <f>IF(E49&gt;=4, "PC-O-06", "—")</f>
        <v>—</v>
      </c>
      <c r="I49" s="113" t="str">
        <f>IFERROR(VLOOKUP(H49,'⑥ 저감대책DB'!$B:$H,5,FALSE()),"")</f>
        <v/>
      </c>
      <c r="J49" s="115" t="str">
        <f>IF(E49&gt;=4, "PC-A-01", "—")</f>
        <v>—</v>
      </c>
      <c r="K49" s="113" t="str">
        <f>IFERROR(VLOOKUP(J49,'⑥ 저감대책DB'!$B:$H,5,FALSE()),"")</f>
        <v/>
      </c>
      <c r="L49" s="115" t="str">
        <f>IF(E49&gt;=4, "PC-P-01", "—")</f>
        <v>—</v>
      </c>
      <c r="M49" s="113" t="str">
        <f>IFERROR(VLOOKUP(L49,'⑥ 저감대책DB'!$B:$H,5,FALSE()),"")</f>
        <v/>
      </c>
      <c r="N49" s="105"/>
    </row>
    <row r="50" spans="1:20" ht="33.950000000000003" customHeight="1">
      <c r="B50" s="108" t="s">
        <v>313</v>
      </c>
      <c r="C50" s="109">
        <f t="shared" si="0"/>
        <v>8</v>
      </c>
      <c r="D50" s="110" t="str">
        <f t="shared" si="1"/>
        <v>폭발성·산화성</v>
      </c>
      <c r="E50" s="111">
        <f t="shared" si="2"/>
        <v>0</v>
      </c>
      <c r="F50" s="114" t="str">
        <f>IF(E50&gt;=4, "PC-E-08", "—")</f>
        <v>—</v>
      </c>
      <c r="G50" s="113" t="str">
        <f>IFERROR(VLOOKUP(F50,'⑥ 저감대책DB'!$B:$H,5,FALSE()),"")</f>
        <v/>
      </c>
      <c r="H50" s="115" t="str">
        <f>IF(E50&gt;=4, "PC-O-04", "—")</f>
        <v>—</v>
      </c>
      <c r="I50" s="113" t="str">
        <f>IFERROR(VLOOKUP(H50,'⑥ 저감대책DB'!$B:$H,5,FALSE()),"")</f>
        <v/>
      </c>
      <c r="J50" s="115" t="str">
        <f>IF(E50&gt;=4, "PC-A-01", "—")</f>
        <v>—</v>
      </c>
      <c r="K50" s="113" t="str">
        <f>IFERROR(VLOOKUP(J50,'⑥ 저감대책DB'!$B:$H,5,FALSE()),"")</f>
        <v/>
      </c>
      <c r="L50" s="115" t="str">
        <f>IF(E50&gt;=4, "PC-P-03", "—")</f>
        <v>—</v>
      </c>
      <c r="M50" s="113" t="str">
        <f>IFERROR(VLOOKUP(L50,'⑥ 저감대책DB'!$B:$H,5,FALSE()),"")</f>
        <v/>
      </c>
      <c r="N50" s="105"/>
    </row>
    <row r="51" spans="1:20" ht="33.950000000000003" customHeight="1">
      <c r="B51" s="116" t="s">
        <v>314</v>
      </c>
      <c r="C51" s="115">
        <v>1</v>
      </c>
      <c r="D51" s="117" t="str">
        <f>B24</f>
        <v xml:space="preserve">  ① 취급 횟수</v>
      </c>
      <c r="E51" s="118" t="str">
        <f>E24</f>
        <v/>
      </c>
      <c r="F51" s="114" t="str">
        <f>IF(E51&gt;=4, "—", "—")</f>
        <v>—</v>
      </c>
      <c r="G51" s="113" t="str">
        <f>IFERROR(VLOOKUP(F51,'⑥ 저감대책DB'!$B:$H,5,FALSE()),"")</f>
        <v/>
      </c>
      <c r="H51" s="115" t="str">
        <f>IF(E51&gt;=4, "PC-O-02", "—")</f>
        <v>PC-O-02</v>
      </c>
      <c r="I51" s="113" t="str">
        <f>IFERROR(VLOOKUP(H51,'⑥ 저감대책DB'!$B:$H,5,FALSE()),"")</f>
        <v>1일 취급 시간·횟수 제한</v>
      </c>
      <c r="J51" s="115" t="str">
        <f>IF(E51&gt;=4, "PC-A-02", "—")</f>
        <v>PC-A-02</v>
      </c>
      <c r="K51" s="113" t="str">
        <f>IFERROR(VLOOKUP(J51,'⑥ 저감대책DB'!$B:$H,5,FALSE()),"")</f>
        <v>표준작업절차서(SOP) 수립·게시·준수</v>
      </c>
      <c r="L51" s="115" t="str">
        <f>IF(E51&gt;=4, "—", "—")</f>
        <v>—</v>
      </c>
      <c r="M51" s="113" t="str">
        <f>IFERROR(VLOOKUP(L51,'⑥ 저감대책DB'!$B:$H,5,FALSE()),"")</f>
        <v/>
      </c>
      <c r="N51" s="105"/>
    </row>
    <row r="52" spans="1:20" ht="33.950000000000003" customHeight="1">
      <c r="B52" s="116" t="s">
        <v>314</v>
      </c>
      <c r="C52" s="115">
        <f>2</f>
        <v>2</v>
      </c>
      <c r="D52" s="117" t="str">
        <f t="shared" ref="D52:D53" si="3">B25</f>
        <v xml:space="preserve">  ② 1회 취급량</v>
      </c>
      <c r="E52" s="118" t="str">
        <f t="shared" ref="E52:E53" si="4">E25</f>
        <v/>
      </c>
      <c r="F52" s="114" t="str">
        <f>IF(E52&gt;=4, "—", "—")</f>
        <v>—</v>
      </c>
      <c r="G52" s="113" t="str">
        <f>IFERROR(VLOOKUP(F52,'⑥ 저감대책DB'!$B:$H,5,FALSE()),"")</f>
        <v/>
      </c>
      <c r="H52" s="115" t="str">
        <f>IF(E52&gt;=4, "PC-O-01", "—")</f>
        <v>PC-O-01</v>
      </c>
      <c r="I52" s="113" t="str">
        <f>IFERROR(VLOOKUP(H52,'⑥ 저감대책DB'!$B:$H,5,FALSE()),"")</f>
        <v>1회 취급량 최소화</v>
      </c>
      <c r="J52" s="115" t="str">
        <f>IF(E52&gt;=4, "—", "—")</f>
        <v>—</v>
      </c>
      <c r="K52" s="113" t="str">
        <f>IFERROR(VLOOKUP(J52,'⑥ 저감대책DB'!$B:$H,5,FALSE()),"")</f>
        <v/>
      </c>
      <c r="L52" s="115" t="str">
        <f>IF(E52&gt;=4, "—", "—")</f>
        <v>—</v>
      </c>
      <c r="M52" s="113" t="str">
        <f>IFERROR(VLOOKUP(L52,'⑥ 저감대책DB'!$B:$H,5,FALSE()),"")</f>
        <v/>
      </c>
      <c r="N52" s="105"/>
    </row>
    <row r="53" spans="1:20" ht="33.950000000000003" customHeight="1">
      <c r="B53" s="116" t="s">
        <v>314</v>
      </c>
      <c r="C53" s="115">
        <f>3</f>
        <v>3</v>
      </c>
      <c r="D53" s="117" t="str">
        <f t="shared" si="3"/>
        <v xml:space="preserve">  ③ 취급 공정 환경</v>
      </c>
      <c r="E53" s="118" t="str">
        <f t="shared" si="4"/>
        <v/>
      </c>
      <c r="F53" s="114" t="str">
        <f>IF(E53&gt;=4, "PC-E-01", "—")</f>
        <v>PC-E-01</v>
      </c>
      <c r="G53" s="113" t="str">
        <f>IFERROR(VLOOKUP(F53,'⑥ 저감대책DB'!$B:$H,5,FALSE()),"")</f>
        <v>완전밀폐 자동화 시스템 (원격취급·로봇·자동공급)</v>
      </c>
      <c r="H53" s="115" t="str">
        <f>IF(E53&gt;=4, "—", "—")</f>
        <v>—</v>
      </c>
      <c r="I53" s="113" t="str">
        <f>IFERROR(VLOOKUP(H53,'⑥ 저감대책DB'!$B:$H,5,FALSE()),"")</f>
        <v/>
      </c>
      <c r="J53" s="115" t="str">
        <f>IF(E53&gt;=4, "—", "—")</f>
        <v>—</v>
      </c>
      <c r="K53" s="113" t="str">
        <f>IFERROR(VLOOKUP(J53,'⑥ 저감대책DB'!$B:$H,5,FALSE()),"")</f>
        <v/>
      </c>
      <c r="L53" s="115" t="str">
        <f>IF(E53&gt;=4, "—", "—")</f>
        <v>—</v>
      </c>
      <c r="M53" s="113" t="str">
        <f>IFERROR(VLOOKUP(L53,'⑥ 저감대책DB'!$B:$H,5,FALSE()),"")</f>
        <v/>
      </c>
      <c r="N53" s="105"/>
    </row>
    <row r="54" spans="1:20" ht="12" customHeight="1">
      <c r="B54" s="119"/>
      <c r="C54" s="119"/>
      <c r="D54" s="120"/>
      <c r="E54" s="121"/>
      <c r="F54" s="119"/>
      <c r="G54" s="119"/>
      <c r="H54" s="119"/>
      <c r="I54" s="119"/>
      <c r="J54" s="105"/>
      <c r="K54" s="105"/>
      <c r="L54" s="105"/>
      <c r="M54" s="105"/>
      <c r="N54" s="105"/>
    </row>
    <row r="55" spans="1:20" ht="19.5" customHeight="1">
      <c r="B55" s="103" t="s">
        <v>315</v>
      </c>
    </row>
    <row r="56" spans="1:20" s="66" customFormat="1" ht="81" customHeight="1">
      <c r="A56" s="67"/>
      <c r="B56" s="245" t="s">
        <v>316</v>
      </c>
      <c r="C56" s="245"/>
      <c r="D56" s="245"/>
      <c r="E56" s="246"/>
      <c r="F56" s="246"/>
      <c r="G56" s="246"/>
      <c r="H56" s="246"/>
      <c r="I56" s="246"/>
      <c r="J56" s="246"/>
      <c r="K56" s="246"/>
      <c r="L56" s="246"/>
      <c r="M56" s="246"/>
    </row>
    <row r="57" spans="1:20" ht="21.75" customHeight="1">
      <c r="A57" s="104"/>
      <c r="B57" s="231" t="s">
        <v>317</v>
      </c>
      <c r="C57" s="232"/>
      <c r="D57" s="232"/>
      <c r="E57" s="262" t="s">
        <v>318</v>
      </c>
      <c r="F57" s="262"/>
      <c r="G57" s="262" t="s">
        <v>319</v>
      </c>
      <c r="H57" s="262"/>
      <c r="I57" s="262" t="s">
        <v>320</v>
      </c>
      <c r="J57" s="262"/>
      <c r="K57" s="122"/>
      <c r="L57" s="122"/>
      <c r="M57" s="122"/>
      <c r="O57" s="104"/>
    </row>
    <row r="58" spans="1:20" ht="21.75" customHeight="1">
      <c r="A58" s="104"/>
      <c r="B58" s="233"/>
      <c r="C58" s="234"/>
      <c r="D58" s="234"/>
      <c r="E58" s="107" t="s">
        <v>311</v>
      </c>
      <c r="F58" s="107" t="s">
        <v>312</v>
      </c>
      <c r="G58" s="107" t="s">
        <v>311</v>
      </c>
      <c r="H58" s="107" t="s">
        <v>312</v>
      </c>
      <c r="I58" s="107" t="s">
        <v>311</v>
      </c>
      <c r="J58" s="107" t="s">
        <v>312</v>
      </c>
      <c r="K58" s="122"/>
      <c r="L58" s="122"/>
      <c r="M58" s="122"/>
      <c r="O58" s="104"/>
    </row>
    <row r="59" spans="1:20" ht="35.1" customHeight="1">
      <c r="A59" s="104"/>
      <c r="B59" s="258" t="s">
        <v>321</v>
      </c>
      <c r="C59" s="258"/>
      <c r="D59" s="259"/>
      <c r="E59" s="123"/>
      <c r="F59" s="124" t="str">
        <f>IFERROR(VLOOKUP(E59,'⑥ 저감대책DB'!$B:$H,5,FALSE()),"")</f>
        <v/>
      </c>
      <c r="G59" s="123"/>
      <c r="H59" s="124" t="str">
        <f>IFERROR(VLOOKUP(G59,'⑥ 저감대책DB'!$B:$H,5,FALSE()),"")</f>
        <v/>
      </c>
      <c r="I59" s="123"/>
      <c r="J59" s="124" t="str">
        <f>IFERROR(VLOOKUP(I59,'⑥ 저감대책DB'!$B:$H,5,FALSE()),"")</f>
        <v/>
      </c>
      <c r="K59" s="125"/>
      <c r="L59" s="125"/>
      <c r="M59" s="125"/>
      <c r="O59" s="104"/>
      <c r="P59" s="126">
        <f>IFERROR(VLOOKUP(E59,'⑥ 저감대책DB'!$B:$E,4,FALSE()),0)</f>
        <v>0</v>
      </c>
      <c r="Q59" s="126">
        <f>IFERROR(VLOOKUP(G59,'⑥ 저감대책DB'!$B:$E,4,FALSE()),0)</f>
        <v>0</v>
      </c>
      <c r="R59" s="126">
        <f>IFERROR(VLOOKUP(I59,'⑥ 저감대책DB'!$B:$E,4,FALSE()),0)</f>
        <v>0</v>
      </c>
      <c r="S59" s="126">
        <f>MIN(P59:R59)*1 + MEDIAN(P59:R59)*0.75 + MAX(P59:R59)*0.5</f>
        <v>0</v>
      </c>
      <c r="T59" s="127">
        <f>S59*1 + S60*0.75 + S61*0.5 + S62*0.5</f>
        <v>0</v>
      </c>
    </row>
    <row r="60" spans="1:20" ht="35.1" customHeight="1">
      <c r="A60" s="104"/>
      <c r="B60" s="258" t="s">
        <v>322</v>
      </c>
      <c r="C60" s="258"/>
      <c r="D60" s="259"/>
      <c r="E60" s="123"/>
      <c r="F60" s="124" t="str">
        <f>IFERROR(VLOOKUP(E60,'⑥ 저감대책DB'!$B:$H,5,FALSE()),"")</f>
        <v/>
      </c>
      <c r="G60" s="123"/>
      <c r="H60" s="124" t="str">
        <f>IFERROR(VLOOKUP(G60,'⑥ 저감대책DB'!$B:$H,5,FALSE()),"")</f>
        <v/>
      </c>
      <c r="I60" s="123"/>
      <c r="J60" s="124" t="str">
        <f>IFERROR(VLOOKUP(I60,'⑥ 저감대책DB'!$B:$H,5,FALSE()),"")</f>
        <v/>
      </c>
      <c r="K60" s="125"/>
      <c r="L60" s="125"/>
      <c r="M60" s="125"/>
      <c r="O60" s="104"/>
      <c r="P60" s="126">
        <f>IFERROR(VLOOKUP(E60,'⑥ 저감대책DB'!$B:$E,4,FALSE()),0)</f>
        <v>0</v>
      </c>
      <c r="Q60" s="126">
        <f>IFERROR(VLOOKUP(G60,'⑥ 저감대책DB'!$B:$E,4,FALSE()),0)</f>
        <v>0</v>
      </c>
      <c r="R60" s="126">
        <f>IFERROR(VLOOKUP(I60,'⑥ 저감대책DB'!$B:$E,4,FALSE()),0)</f>
        <v>0</v>
      </c>
      <c r="S60" s="126">
        <f t="shared" ref="S60:S62" si="5">MIN(P60:R60)*1 + MEDIAN(P60:R60)*0.75 + MAX(P60:R60)*0.5</f>
        <v>0</v>
      </c>
      <c r="T60" s="127">
        <f>MAX(T59, -E27*0.6)</f>
        <v>0</v>
      </c>
    </row>
    <row r="61" spans="1:20" ht="35.1" customHeight="1">
      <c r="A61" s="104"/>
      <c r="B61" s="258" t="s">
        <v>323</v>
      </c>
      <c r="C61" s="258"/>
      <c r="D61" s="259"/>
      <c r="E61" s="123"/>
      <c r="F61" s="124" t="str">
        <f>IFERROR(VLOOKUP(E61,'⑥ 저감대책DB'!$B:$H,5,FALSE()),"")</f>
        <v/>
      </c>
      <c r="G61" s="123"/>
      <c r="H61" s="124" t="str">
        <f>IFERROR(VLOOKUP(G61,'⑥ 저감대책DB'!$B:$H,5,FALSE()),"")</f>
        <v/>
      </c>
      <c r="I61" s="123"/>
      <c r="J61" s="124" t="str">
        <f>IFERROR(VLOOKUP(I61,'⑥ 저감대책DB'!$B:$H,5,FALSE()),"")</f>
        <v/>
      </c>
      <c r="K61" s="125"/>
      <c r="L61" s="125"/>
      <c r="M61" s="125"/>
      <c r="O61" s="104"/>
      <c r="P61" s="126">
        <f>IFERROR(VLOOKUP(E61,'⑥ 저감대책DB'!$B:$E,4,FALSE()),0)</f>
        <v>0</v>
      </c>
      <c r="Q61" s="126">
        <f>IFERROR(VLOOKUP(G61,'⑥ 저감대책DB'!$B:$E,4,FALSE()),0)</f>
        <v>0</v>
      </c>
      <c r="R61" s="126">
        <f>IFERROR(VLOOKUP(I61,'⑥ 저감대책DB'!$B:$E,4,FALSE()),0)</f>
        <v>0</v>
      </c>
      <c r="S61" s="126">
        <f t="shared" si="5"/>
        <v>0</v>
      </c>
      <c r="T61" s="128">
        <f>MAX(3, E27 + T60)</f>
        <v>3</v>
      </c>
    </row>
    <row r="62" spans="1:20" ht="35.1" customHeight="1">
      <c r="A62" s="104"/>
      <c r="B62" s="258" t="s">
        <v>324</v>
      </c>
      <c r="C62" s="258"/>
      <c r="D62" s="259"/>
      <c r="E62" s="123"/>
      <c r="F62" s="124" t="str">
        <f>IFERROR(VLOOKUP(E62,'⑥ 저감대책DB'!$B:$H,5,FALSE()),"")</f>
        <v/>
      </c>
      <c r="G62" s="123"/>
      <c r="H62" s="124" t="str">
        <f>IFERROR(VLOOKUP(G62,'⑥ 저감대책DB'!$B:$H,5,FALSE()),"")</f>
        <v/>
      </c>
      <c r="I62" s="123"/>
      <c r="J62" s="124" t="str">
        <f>IFERROR(VLOOKUP(I62,'⑥ 저감대책DB'!$B:$H,5,FALSE()),"")</f>
        <v/>
      </c>
      <c r="K62" s="125"/>
      <c r="L62" s="125"/>
      <c r="M62" s="125"/>
      <c r="O62" s="104"/>
      <c r="P62" s="126">
        <f>IFERROR(VLOOKUP(E62,'⑥ 저감대책DB'!$B:$E,4,FALSE()),0)</f>
        <v>0</v>
      </c>
      <c r="Q62" s="126">
        <f>IFERROR(VLOOKUP(G62,'⑥ 저감대책DB'!$B:$E,4,FALSE()),0)</f>
        <v>0</v>
      </c>
      <c r="R62" s="126">
        <f>IFERROR(VLOOKUP(I62,'⑥ 저감대책DB'!$B:$E,4,FALSE()),0)</f>
        <v>0</v>
      </c>
      <c r="S62" s="126">
        <f t="shared" si="5"/>
        <v>0</v>
      </c>
      <c r="T62" s="126"/>
    </row>
    <row r="63" spans="1:20" ht="68.099999999999994" customHeight="1">
      <c r="A63" s="104"/>
      <c r="B63" s="248" t="s">
        <v>325</v>
      </c>
      <c r="C63" s="248"/>
      <c r="D63" s="249"/>
      <c r="E63" s="244" t="s">
        <v>326</v>
      </c>
      <c r="F63" s="244"/>
      <c r="G63" s="244"/>
      <c r="H63" s="244"/>
      <c r="I63" s="244"/>
      <c r="J63" s="244"/>
      <c r="K63" s="129"/>
      <c r="L63" s="129"/>
      <c r="M63" s="129"/>
      <c r="O63" s="104"/>
    </row>
    <row r="64" spans="1:20" ht="12" customHeight="1">
      <c r="B64" s="119"/>
      <c r="C64" s="119"/>
      <c r="D64" s="120"/>
      <c r="E64" s="121"/>
      <c r="F64" s="119"/>
      <c r="G64" s="119"/>
      <c r="H64" s="119"/>
      <c r="I64" s="119"/>
      <c r="J64" s="105"/>
      <c r="K64" s="105"/>
      <c r="L64" s="105"/>
      <c r="M64" s="105"/>
      <c r="N64" s="105"/>
    </row>
    <row r="65" spans="1:16" ht="19.5" customHeight="1">
      <c r="B65" s="103" t="s">
        <v>327</v>
      </c>
    </row>
    <row r="66" spans="1:16" ht="39.75" customHeight="1">
      <c r="A66" s="104"/>
      <c r="B66" s="228" t="s">
        <v>328</v>
      </c>
      <c r="C66" s="228"/>
      <c r="D66" s="228"/>
      <c r="E66" s="250">
        <f>T61</f>
        <v>3</v>
      </c>
      <c r="F66" s="250"/>
      <c r="G66" s="230" t="s">
        <v>329</v>
      </c>
      <c r="H66" s="334"/>
      <c r="I66" s="334"/>
      <c r="J66" s="334"/>
      <c r="K66" s="334"/>
      <c r="L66" s="334"/>
      <c r="M66" s="334"/>
      <c r="O66" s="104"/>
    </row>
    <row r="67" spans="1:16" ht="36.950000000000003" customHeight="1">
      <c r="B67" s="228" t="s">
        <v>330</v>
      </c>
      <c r="C67" s="228"/>
      <c r="D67" s="241"/>
      <c r="E67" s="242">
        <f>IF(E66&lt;3.5,1,IF(E66&lt;6.5,2,IF(E66&lt;9.5,3,IF(E66&lt;12.5,4,5))))</f>
        <v>1</v>
      </c>
      <c r="F67" s="242"/>
      <c r="G67" s="243" t="s">
        <v>292</v>
      </c>
      <c r="H67" s="334"/>
      <c r="I67" s="334"/>
      <c r="J67" s="334"/>
      <c r="K67" s="334"/>
      <c r="L67" s="334"/>
      <c r="M67" s="334"/>
      <c r="N67" s="100"/>
      <c r="O67" s="100"/>
    </row>
    <row r="68" spans="1:16" ht="6.75" customHeight="1">
      <c r="G68" s="130"/>
      <c r="H68" s="130"/>
      <c r="I68" s="130"/>
      <c r="J68" s="130"/>
      <c r="K68" s="130"/>
      <c r="L68" s="130"/>
      <c r="M68" s="130"/>
    </row>
    <row r="69" spans="1:16" ht="36.950000000000003" customHeight="1">
      <c r="A69" s="97"/>
      <c r="B69" s="228" t="s">
        <v>331</v>
      </c>
      <c r="C69" s="228"/>
      <c r="D69" s="228"/>
      <c r="E69" s="229">
        <f>E20*E67</f>
        <v>1</v>
      </c>
      <c r="F69" s="229"/>
      <c r="G69" s="230" t="s">
        <v>296</v>
      </c>
      <c r="H69" s="334"/>
      <c r="I69" s="334"/>
      <c r="J69" s="334"/>
      <c r="K69" s="334"/>
      <c r="L69" s="334"/>
      <c r="M69" s="334"/>
      <c r="P69" s="97"/>
    </row>
    <row r="70" spans="1:16" ht="36.950000000000003" customHeight="1">
      <c r="A70" s="97"/>
      <c r="B70" s="228" t="s">
        <v>297</v>
      </c>
      <c r="C70" s="228"/>
      <c r="D70" s="228"/>
      <c r="E70" s="229" t="str">
        <f>IF(E69&lt;3.5,"저",IF(E69&lt;8.5,"중",IF(E69&lt;16.5,"고","허용 불가")))</f>
        <v>저</v>
      </c>
      <c r="F70" s="229"/>
      <c r="G70" s="247" t="str">
        <f>IF(E69&lt;=8,"✅ 허용 가능","🟠 허용 불가 — 저감대책 추가 적용 검토. 위험도 감소(8이하) 후 도입 가능")</f>
        <v>✅ 허용 가능</v>
      </c>
      <c r="H70" s="247"/>
      <c r="I70" s="247"/>
      <c r="J70" s="247"/>
      <c r="K70" s="247"/>
      <c r="L70" s="247"/>
      <c r="M70" s="247"/>
      <c r="P70" s="97"/>
    </row>
  </sheetData>
  <mergeCells count="79">
    <mergeCell ref="E32:F32"/>
    <mergeCell ref="E33:F33"/>
    <mergeCell ref="E17:F17"/>
    <mergeCell ref="E18:F18"/>
    <mergeCell ref="E19:F19"/>
    <mergeCell ref="E20:F20"/>
    <mergeCell ref="E27:F27"/>
    <mergeCell ref="E28:F28"/>
    <mergeCell ref="B25:C25"/>
    <mergeCell ref="B39:M39"/>
    <mergeCell ref="A1:M1"/>
    <mergeCell ref="A2:N2"/>
    <mergeCell ref="B17:D17"/>
    <mergeCell ref="G18:M18"/>
    <mergeCell ref="G20:M20"/>
    <mergeCell ref="B20:D20"/>
    <mergeCell ref="B33:D33"/>
    <mergeCell ref="G17:M17"/>
    <mergeCell ref="G33:M33"/>
    <mergeCell ref="G19:M19"/>
    <mergeCell ref="B18:D18"/>
    <mergeCell ref="B19:D19"/>
    <mergeCell ref="B32:D32"/>
    <mergeCell ref="G32:M32"/>
    <mergeCell ref="B61:D61"/>
    <mergeCell ref="B62:D62"/>
    <mergeCell ref="G6:L6"/>
    <mergeCell ref="M6:M7"/>
    <mergeCell ref="B59:D59"/>
    <mergeCell ref="B60:D60"/>
    <mergeCell ref="B36:M36"/>
    <mergeCell ref="E57:F57"/>
    <mergeCell ref="G57:H57"/>
    <mergeCell ref="I57:J57"/>
    <mergeCell ref="B6:B7"/>
    <mergeCell ref="C6:C7"/>
    <mergeCell ref="D6:D7"/>
    <mergeCell ref="E6:E7"/>
    <mergeCell ref="F6:F7"/>
    <mergeCell ref="G27:M27"/>
    <mergeCell ref="J41:K41"/>
    <mergeCell ref="L41:M41"/>
    <mergeCell ref="B5:M5"/>
    <mergeCell ref="B23:M23"/>
    <mergeCell ref="B31:M31"/>
    <mergeCell ref="G28:M28"/>
    <mergeCell ref="E24:F24"/>
    <mergeCell ref="E25:F25"/>
    <mergeCell ref="E26:F26"/>
    <mergeCell ref="B27:D27"/>
    <mergeCell ref="B28:D28"/>
    <mergeCell ref="G26:M26"/>
    <mergeCell ref="B26:C26"/>
    <mergeCell ref="G24:M24"/>
    <mergeCell ref="G25:M25"/>
    <mergeCell ref="B24:C24"/>
    <mergeCell ref="B70:D70"/>
    <mergeCell ref="E70:F70"/>
    <mergeCell ref="G70:M70"/>
    <mergeCell ref="B66:D66"/>
    <mergeCell ref="B63:D63"/>
    <mergeCell ref="G66:M66"/>
    <mergeCell ref="E66:F66"/>
    <mergeCell ref="F40:M40"/>
    <mergeCell ref="B69:D69"/>
    <mergeCell ref="E69:F69"/>
    <mergeCell ref="G69:M69"/>
    <mergeCell ref="B57:D58"/>
    <mergeCell ref="B40:B42"/>
    <mergeCell ref="C40:C42"/>
    <mergeCell ref="D40:D42"/>
    <mergeCell ref="E40:E42"/>
    <mergeCell ref="F41:G41"/>
    <mergeCell ref="B67:D67"/>
    <mergeCell ref="E67:F67"/>
    <mergeCell ref="G67:M67"/>
    <mergeCell ref="E63:J63"/>
    <mergeCell ref="B56:M56"/>
    <mergeCell ref="H41:I41"/>
  </mergeCells>
  <phoneticPr fontId="1" type="noConversion"/>
  <conditionalFormatting sqref="E43:E53">
    <cfRule type="cellIs" dxfId="3" priority="1" operator="greaterThan">
      <formula>3</formula>
    </cfRule>
  </conditionalFormatting>
  <dataValidations count="3">
    <dataValidation type="list" allowBlank="1" showDropDown="1" showInputMessage="1" showErrorMessage="1" sqref="F8:F15" xr:uid="{28C7EFE6-2664-4024-AAA1-4E925A7A93A8}">
      <formula1>"1,2,3,4,5"</formula1>
    </dataValidation>
    <dataValidation sqref="F34:F35 F38 F65 F55" xr:uid="{2A7CF15E-DC58-4907-822A-5F9BF564A923}"/>
    <dataValidation allowBlank="1" showDropDown="1" showInputMessage="1" showErrorMessage="1" sqref="G7:G15" xr:uid="{29189F11-2780-4D73-B815-7D8AD476B1C1}"/>
  </dataValidations>
  <pageMargins left="0.25" right="0.25" top="0.75" bottom="0.75" header="0.3" footer="0.3"/>
  <pageSetup paperSize="9" scale="77" fitToHeight="0" orientation="landscape" r:id="rId1"/>
  <rowBreaks count="3" manualBreakCount="3">
    <brk id="15" max="13" man="1"/>
    <brk id="33" max="13" man="1"/>
    <brk id="53" max="13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D61A363-8962-4096-946E-F0FD1CA12AC6}">
          <x14:formula1>
            <xm:f>'(수정금지) 기준정보'!$D$213:$D$217</xm:f>
          </x14:formula1>
          <xm:sqref>D25</xm:sqref>
        </x14:dataValidation>
        <x14:dataValidation type="list" allowBlank="1" showInputMessage="1" showErrorMessage="1" xr:uid="{9BA793CA-B7F3-4703-8A57-E47ED1CD7AFE}">
          <x14:formula1>
            <xm:f>'(수정금지) 기준정보'!$E$213:$E$217</xm:f>
          </x14:formula1>
          <xm:sqref>D26</xm:sqref>
        </x14:dataValidation>
        <x14:dataValidation type="list" allowBlank="1" showInputMessage="1" showErrorMessage="1" xr:uid="{C7D9A121-90B8-44FF-86EF-728E616BDCDB}">
          <x14:formula1>
            <xm:f>'(수정금지) 기준정보'!$C$213:$C$217</xm:f>
          </x14:formula1>
          <xm:sqref>D24</xm:sqref>
        </x14:dataValidation>
        <x14:dataValidation type="list" allowBlank="1" showInputMessage="1" showErrorMessage="1" xr:uid="{6E999D8D-2624-48D9-AEF3-E8A871B927C2}">
          <x14:formula1>
            <xm:f>'⑥ 저감대책DB'!$B$6:$B$17</xm:f>
          </x14:formula1>
          <xm:sqref>E59 G59 I59</xm:sqref>
        </x14:dataValidation>
        <x14:dataValidation type="list" allowBlank="1" showInputMessage="1" showErrorMessage="1" xr:uid="{4969D9D8-EE45-43F0-A01F-44F642D57EBC}">
          <x14:formula1>
            <xm:f>'⑥ 저감대책DB'!$B$18:$B$24</xm:f>
          </x14:formula1>
          <xm:sqref>E60 G60 I60</xm:sqref>
        </x14:dataValidation>
        <x14:dataValidation type="list" allowBlank="1" showInputMessage="1" showErrorMessage="1" xr:uid="{900A58DD-9D02-4A13-99BB-8ED5A73868C4}">
          <x14:formula1>
            <xm:f>'⑥ 저감대책DB'!$B$25:$B$30</xm:f>
          </x14:formula1>
          <xm:sqref>E61 G61 I61</xm:sqref>
        </x14:dataValidation>
        <x14:dataValidation type="list" allowBlank="1" showInputMessage="1" showErrorMessage="1" xr:uid="{D9E95ED5-597E-4B7A-AEBA-AAC3D0A4AFF1}">
          <x14:formula1>
            <xm:f>'⑥ 저감대책DB'!$B$31:$B$33</xm:f>
          </x14:formula1>
          <xm:sqref>E62 G62 I62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38D6-9BFF-435B-B15A-8B60C92118CF}">
  <sheetPr>
    <tabColor rgb="FF99CCFF"/>
    <pageSetUpPr fitToPage="1"/>
  </sheetPr>
  <dimension ref="A1:T69"/>
  <sheetViews>
    <sheetView showGridLines="0" view="pageBreakPreview" zoomScaleNormal="70" zoomScaleSheetLayoutView="100" workbookViewId="0">
      <selection activeCell="A3" sqref="A3"/>
    </sheetView>
  </sheetViews>
  <sheetFormatPr defaultRowHeight="16.5"/>
  <cols>
    <col min="1" max="1" width="2.375" style="4" customWidth="1"/>
    <col min="2" max="2" width="5" style="4" customWidth="1"/>
    <col min="3" max="3" width="13.125" style="4" customWidth="1"/>
    <col min="4" max="4" width="34.625" style="4" customWidth="1"/>
    <col min="5" max="13" width="12.375" style="4" customWidth="1"/>
    <col min="14" max="14" width="2.375" style="4" customWidth="1"/>
    <col min="15" max="15" width="27.5" style="4" customWidth="1"/>
    <col min="16" max="16" width="9" style="4" customWidth="1"/>
    <col min="17" max="16384" width="9" style="4"/>
  </cols>
  <sheetData>
    <row r="1" spans="1:16" ht="33.950000000000003" customHeight="1">
      <c r="A1" s="221" t="s">
        <v>332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6" ht="20.100000000000001" customHeight="1">
      <c r="A2" s="222" t="s">
        <v>333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16" ht="8.1" customHeight="1"/>
    <row r="4" spans="1:16" ht="19.5" customHeight="1">
      <c r="B4" s="84" t="s">
        <v>190</v>
      </c>
    </row>
    <row r="5" spans="1:16" s="66" customFormat="1" ht="57" customHeight="1">
      <c r="A5" s="67"/>
      <c r="B5" s="245" t="s">
        <v>191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</row>
    <row r="6" spans="1:16" ht="19.5" customHeight="1">
      <c r="B6" s="261" t="s">
        <v>192</v>
      </c>
      <c r="C6" s="261" t="s">
        <v>24</v>
      </c>
      <c r="D6" s="261" t="s">
        <v>193</v>
      </c>
      <c r="E6" s="261" t="s">
        <v>194</v>
      </c>
      <c r="F6" s="263" t="s">
        <v>195</v>
      </c>
      <c r="G6" s="260" t="s">
        <v>196</v>
      </c>
      <c r="H6" s="260"/>
      <c r="I6" s="260"/>
      <c r="J6" s="260"/>
      <c r="K6" s="260"/>
      <c r="L6" s="260"/>
      <c r="M6" s="261" t="s">
        <v>197</v>
      </c>
    </row>
    <row r="7" spans="1:16" ht="31.5" customHeight="1" thickBot="1">
      <c r="B7" s="261"/>
      <c r="C7" s="261"/>
      <c r="D7" s="261"/>
      <c r="E7" s="261"/>
      <c r="F7" s="263"/>
      <c r="G7" s="85" t="s">
        <v>198</v>
      </c>
      <c r="H7" s="85" t="s">
        <v>199</v>
      </c>
      <c r="I7" s="69" t="s">
        <v>200</v>
      </c>
      <c r="J7" s="69" t="s">
        <v>201</v>
      </c>
      <c r="K7" s="69" t="s">
        <v>202</v>
      </c>
      <c r="L7" s="86" t="s">
        <v>203</v>
      </c>
      <c r="M7" s="261"/>
      <c r="N7" s="87"/>
      <c r="O7" s="88" t="s">
        <v>204</v>
      </c>
    </row>
    <row r="8" spans="1:16" ht="57.75" customHeight="1">
      <c r="B8" s="89">
        <v>1</v>
      </c>
      <c r="C8" s="90" t="s">
        <v>334</v>
      </c>
      <c r="D8" s="91" t="s">
        <v>335</v>
      </c>
      <c r="E8" s="178">
        <f>IFERROR(MAX(IF('① 기초Data'!D38="H400",5,   IF('① 기초Data'!D38="H401",4,  IF('① 기초Data'!D38="H402",3,1))),
    IF('① 기초Data'!D62&lt;=1,5,  IF('① 기초Data'!D62&lt;=10,4, IF('① 기초Data'!D62&lt;=100,3,  IF('① 기초Data'!D62&lt;=1000,2,1)))),
    IF('① 기초Data'!D63&lt;=1,5,  IF('① 기초Data'!D63&lt;=10,4, IF('① 기초Data'!D63&lt;=100,3,  IF('① 기초Data'!D63&lt;=1000,2,1))))),"?")</f>
        <v>5</v>
      </c>
      <c r="F8" s="92"/>
      <c r="G8" s="93" t="s">
        <v>336</v>
      </c>
      <c r="H8" s="93" t="s">
        <v>337</v>
      </c>
      <c r="I8" s="94" t="s">
        <v>338</v>
      </c>
      <c r="J8" s="94" t="s">
        <v>339</v>
      </c>
      <c r="K8" s="94" t="s">
        <v>340</v>
      </c>
      <c r="L8" s="94" t="s">
        <v>341</v>
      </c>
      <c r="M8" s="94"/>
      <c r="N8" s="95"/>
      <c r="O8" s="25" t="s">
        <v>342</v>
      </c>
    </row>
    <row r="9" spans="1:16" ht="57.75" customHeight="1">
      <c r="B9" s="89">
        <v>2</v>
      </c>
      <c r="C9" s="90" t="s">
        <v>334</v>
      </c>
      <c r="D9" s="91" t="s">
        <v>343</v>
      </c>
      <c r="E9" s="178">
        <f>IFERROR(IF('① 기초Data'!D39="H410",5,IF('① 기초Data'!D39="H411",4,IF('① 기초Data'!D39="H412",3,IF('① 기초Data'!D39="H413",2,1)))),"?")</f>
        <v>1</v>
      </c>
      <c r="F9" s="92"/>
      <c r="G9" s="93" t="s">
        <v>344</v>
      </c>
      <c r="H9" s="93" t="s">
        <v>345</v>
      </c>
      <c r="I9" s="94" t="s">
        <v>346</v>
      </c>
      <c r="J9" s="94" t="s">
        <v>347</v>
      </c>
      <c r="K9" s="94" t="s">
        <v>348</v>
      </c>
      <c r="L9" s="94" t="s">
        <v>349</v>
      </c>
      <c r="M9" s="94"/>
      <c r="N9" s="95"/>
      <c r="O9" s="21" t="s">
        <v>350</v>
      </c>
    </row>
    <row r="10" spans="1:16" ht="57.75" customHeight="1">
      <c r="B10" s="89">
        <v>3</v>
      </c>
      <c r="C10" s="90" t="s">
        <v>334</v>
      </c>
      <c r="D10" s="91" t="s">
        <v>351</v>
      </c>
      <c r="E10" s="178">
        <f>IFERROR(MAX(IF(OR('① 기초Data'!D65="없음",'① 기초Data'!D65=""),1,  IF(VALUE('① 기초Data'!D65)&gt;180,5, IF(VALUE('① 기초Data'!D65)&gt;60,4,    IF(VALUE('① 기초Data'!D65)&gt;28,3,   IF(VALUE('① 기초Data'!D65)&gt;10,2,1))))),
    IF(OR('① 기초Data'!D66="없음",'① 기초Data'!D66=""),1,   IF(VALUE('① 기초Data'!D66)&lt;5,5,   IF(VALUE('① 기초Data'!D66)&lt;20,4,  IF(VALUE('① 기초Data'!D66)&lt;40,3,    IF(VALUE('① 기초Data'!D66)&lt;60,2,1)))))),"?")</f>
        <v>1</v>
      </c>
      <c r="F10" s="92"/>
      <c r="G10" s="93" t="s">
        <v>352</v>
      </c>
      <c r="H10" s="93" t="s">
        <v>353</v>
      </c>
      <c r="I10" s="94" t="s">
        <v>354</v>
      </c>
      <c r="J10" s="94" t="s">
        <v>355</v>
      </c>
      <c r="K10" s="94" t="s">
        <v>356</v>
      </c>
      <c r="L10" s="94" t="s">
        <v>357</v>
      </c>
      <c r="M10" s="94"/>
      <c r="N10" s="95"/>
      <c r="O10" s="21" t="s">
        <v>358</v>
      </c>
    </row>
    <row r="11" spans="1:16" ht="57.75" customHeight="1">
      <c r="B11" s="89">
        <v>4</v>
      </c>
      <c r="C11" s="90" t="s">
        <v>359</v>
      </c>
      <c r="D11" s="91" t="s">
        <v>360</v>
      </c>
      <c r="E11" s="178">
        <f>IFERROR(MAX(IF(OR('① 기초Data'!D49="없음",'① 기초Data'!D49=""),1,  IF(VALUE('① 기초Data'!D49)&lt;2,5, IF(VALUE('① 기초Data'!D49)&lt;2.7,4,    IF(VALUE('① 기초Data'!D49)&lt;3.5,3,   IF(VALUE('① 기초Data'!D49)&lt;4.5,2,1))))),
    IF(OR('① 기초Data'!D67="없음",'① 기초Data'!D67=""),1,   IF(VALUE('① 기초Data'!D67)&lt;50,5, IF(VALUE('① 기초Data'!D67)&lt;200,4,    IF(VALUE('① 기초Data'!D67)&lt;1000,3,   IF(VALUE('① 기초Data'!D67)&lt;5000,2,1)))))),"?")</f>
        <v>1</v>
      </c>
      <c r="F11" s="92"/>
      <c r="G11" s="93" t="s">
        <v>361</v>
      </c>
      <c r="H11" s="93" t="s">
        <v>362</v>
      </c>
      <c r="I11" s="94" t="s">
        <v>363</v>
      </c>
      <c r="J11" s="94" t="s">
        <v>364</v>
      </c>
      <c r="K11" s="94" t="s">
        <v>365</v>
      </c>
      <c r="L11" s="94" t="s">
        <v>366</v>
      </c>
      <c r="M11" s="94"/>
      <c r="N11" s="95"/>
      <c r="O11" s="21" t="s">
        <v>367</v>
      </c>
    </row>
    <row r="12" spans="1:16" ht="57.75" customHeight="1">
      <c r="B12" s="89">
        <v>5</v>
      </c>
      <c r="C12" s="90" t="s">
        <v>359</v>
      </c>
      <c r="D12" s="91" t="s">
        <v>368</v>
      </c>
      <c r="E12" s="178">
        <f>IFERROR(IF(OR('① 기초Data'!D65="없음",'① 기초Data'!D65=""),1,  IF(VALUE('① 기초Data'!D65)&gt;365,5, IF(VALUE('① 기초Data'!D65)&gt;180,4,    IF(VALUE('① 기초Data'!D65)&gt;120,3,   IF(VALUE('① 기초Data'!D65)&gt;60,2,1))))),"?")</f>
        <v>1</v>
      </c>
      <c r="F12" s="92"/>
      <c r="G12" s="93" t="s">
        <v>369</v>
      </c>
      <c r="H12" s="93" t="s">
        <v>370</v>
      </c>
      <c r="I12" s="94" t="s">
        <v>371</v>
      </c>
      <c r="J12" s="94" t="s">
        <v>372</v>
      </c>
      <c r="K12" s="94" t="s">
        <v>373</v>
      </c>
      <c r="L12" s="94" t="s">
        <v>374</v>
      </c>
      <c r="M12" s="94"/>
      <c r="N12" s="95"/>
      <c r="O12" s="21" t="s">
        <v>375</v>
      </c>
    </row>
    <row r="13" spans="1:16" ht="57.75" customHeight="1">
      <c r="B13" s="89">
        <v>6</v>
      </c>
      <c r="C13" s="90" t="s">
        <v>376</v>
      </c>
      <c r="D13" s="91" t="s">
        <v>377</v>
      </c>
      <c r="E13" s="178">
        <f>IFERROR(MAX(IF('① 기초Data'!D68="vPvB 해당",5,   IF('① 기초Data'!D68="PBT기준 3가지 해당",4,1)),
    IF(OR('① 기초Data'!D64="없음",'① 기초Data'!D64=""),1,  IF('① 기초Data'!D64&gt;=5000,5,  IF('① 기초Data'!D64&gt;=2000,4, IF('① 기초Data'!D64&gt;=500,3,  IF('① 기초Data'!D64&gt;=100,2,1))))),
    IF(OR('① 기초Data'!D49="없음",'① 기초Data'!D49=""),1, IF('① 기초Data'!D49&gt;=5.2,5,  IF('① 기초Data'!D49&gt;=4.7,4, IF('① 기초Data'!D49&gt;=4,3,  IF('① 기초Data'!D49&gt;=3.2,2,1)))))),"?")</f>
        <v>1</v>
      </c>
      <c r="F13" s="92"/>
      <c r="G13" s="93" t="s">
        <v>378</v>
      </c>
      <c r="H13" s="93" t="s">
        <v>379</v>
      </c>
      <c r="I13" s="94" t="s">
        <v>380</v>
      </c>
      <c r="J13" s="94" t="s">
        <v>381</v>
      </c>
      <c r="K13" s="94" t="s">
        <v>382</v>
      </c>
      <c r="L13" s="94" t="s">
        <v>383</v>
      </c>
      <c r="M13" s="94"/>
      <c r="N13" s="95"/>
      <c r="O13" s="21" t="s">
        <v>384</v>
      </c>
    </row>
    <row r="14" spans="1:16" ht="46.5" customHeight="1">
      <c r="B14" s="89">
        <v>7</v>
      </c>
      <c r="C14" s="90" t="s">
        <v>376</v>
      </c>
      <c r="D14" s="91" t="s">
        <v>385</v>
      </c>
      <c r="E14" s="178">
        <f>IFERROR(IF('① 기초Data'!D68="vPvB 해당",5,   IF('① 기초Data'!D68="PBT기준 3가지 해당",4,  IF('① 기초Data'!D68="PBT 2가지 해당",3,  IF('① 기초Data'!D68="PBT 1가지 해당",2,1)))),"?")</f>
        <v>1</v>
      </c>
      <c r="F14" s="92"/>
      <c r="G14" s="93" t="s">
        <v>386</v>
      </c>
      <c r="H14" s="93" t="s">
        <v>387</v>
      </c>
      <c r="I14" s="94" t="s">
        <v>388</v>
      </c>
      <c r="J14" s="94" t="s">
        <v>389</v>
      </c>
      <c r="K14" s="94" t="s">
        <v>390</v>
      </c>
      <c r="L14" s="94" t="s">
        <v>391</v>
      </c>
      <c r="M14" s="94"/>
      <c r="N14" s="95"/>
      <c r="O14" s="21" t="s">
        <v>392</v>
      </c>
    </row>
    <row r="15" spans="1:16" ht="52.5" customHeight="1">
      <c r="B15" s="89">
        <v>8</v>
      </c>
      <c r="C15" s="90" t="s">
        <v>393</v>
      </c>
      <c r="D15" s="91" t="s">
        <v>394</v>
      </c>
      <c r="E15" s="178">
        <f>IFERROR(MAX(IF('① 기초Data'!D40="H420",5,   1),
    IF(OR('① 기초Data'!D48="없음",'① 기초Data'!D48=""),1,  IF(VALUE('① 기초Data'!D48)&gt;=100,4,  IF(VALUE('① 기초Data'!D48)&gt;=10,3, IF(VALUE('① 기초Data'!D48)&gt;=1,2,  IF(VALUE('① 기초Data'!D48)&lt;1,1,1)))))),"?")</f>
        <v>1</v>
      </c>
      <c r="F15" s="92"/>
      <c r="G15" s="93" t="s">
        <v>395</v>
      </c>
      <c r="H15" s="93" t="s">
        <v>396</v>
      </c>
      <c r="I15" s="94" t="s">
        <v>397</v>
      </c>
      <c r="J15" s="94" t="s">
        <v>398</v>
      </c>
      <c r="K15" s="94" t="s">
        <v>399</v>
      </c>
      <c r="L15" s="94" t="s">
        <v>400</v>
      </c>
      <c r="M15" s="94"/>
      <c r="N15" s="95"/>
      <c r="O15" s="21" t="s">
        <v>401</v>
      </c>
    </row>
    <row r="16" spans="1:16" ht="9.9499999999999993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35.1" customHeight="1">
      <c r="B17" s="253" t="s">
        <v>273</v>
      </c>
      <c r="C17" s="264"/>
      <c r="D17" s="264"/>
      <c r="E17" s="279">
        <f>SUM(F8:F15)</f>
        <v>0</v>
      </c>
      <c r="F17" s="267"/>
      <c r="G17" s="265" t="s">
        <v>274</v>
      </c>
      <c r="H17" s="333"/>
      <c r="I17" s="333"/>
      <c r="J17" s="333"/>
      <c r="K17" s="333"/>
      <c r="L17" s="333"/>
      <c r="M17" s="333"/>
      <c r="N17" s="3"/>
      <c r="P17" s="131"/>
    </row>
    <row r="18" spans="1:16" ht="35.1" customHeight="1">
      <c r="B18" s="264" t="s">
        <v>275</v>
      </c>
      <c r="C18" s="264"/>
      <c r="D18" s="264"/>
      <c r="E18" s="268">
        <f>IF(MAX(F8:F15)&gt;=5,2,IF(MAX(F8:F15)&gt;=4,1,0))</f>
        <v>0</v>
      </c>
      <c r="F18" s="268"/>
      <c r="G18" s="265" t="s">
        <v>276</v>
      </c>
      <c r="H18" s="333"/>
      <c r="I18" s="333"/>
      <c r="J18" s="333"/>
      <c r="K18" s="333"/>
      <c r="L18" s="333"/>
      <c r="M18" s="333"/>
      <c r="N18" s="3"/>
    </row>
    <row r="19" spans="1:16" ht="35.1" customHeight="1">
      <c r="B19" s="253" t="s">
        <v>277</v>
      </c>
      <c r="C19" s="253"/>
      <c r="D19" s="256"/>
      <c r="E19" s="269">
        <f>MIN(40,E17+E18)</f>
        <v>0</v>
      </c>
      <c r="F19" s="269"/>
      <c r="G19" s="266" t="s">
        <v>278</v>
      </c>
      <c r="H19" s="333"/>
      <c r="I19" s="333"/>
      <c r="J19" s="333"/>
      <c r="K19" s="333"/>
      <c r="L19" s="333"/>
      <c r="M19" s="333"/>
      <c r="N19" s="3"/>
    </row>
    <row r="20" spans="1:16" ht="35.1" customHeight="1">
      <c r="A20" s="97"/>
      <c r="B20" s="228" t="s">
        <v>279</v>
      </c>
      <c r="C20" s="228"/>
      <c r="D20" s="241"/>
      <c r="E20" s="270">
        <f>IF(E19&lt;8.5,1,IF(E19&lt;16.5,2,IF(E19&lt;24.5,3,IF(E19&lt;33.5,4,5))))</f>
        <v>1</v>
      </c>
      <c r="F20" s="270"/>
      <c r="G20" s="243" t="s">
        <v>280</v>
      </c>
      <c r="H20" s="334"/>
      <c r="I20" s="334"/>
      <c r="J20" s="334"/>
      <c r="K20" s="334"/>
      <c r="L20" s="334"/>
      <c r="M20" s="334"/>
      <c r="N20" s="3"/>
    </row>
    <row r="21" spans="1:16" ht="19.5" customHeight="1">
      <c r="G21" s="98"/>
      <c r="H21" s="98"/>
      <c r="I21" s="98"/>
      <c r="J21" s="98"/>
      <c r="K21" s="98"/>
      <c r="L21" s="98"/>
      <c r="M21" s="98"/>
    </row>
    <row r="22" spans="1:16" ht="19.5" customHeight="1">
      <c r="B22" s="84" t="s">
        <v>281</v>
      </c>
      <c r="G22" s="98"/>
      <c r="H22" s="98"/>
      <c r="I22" s="98"/>
      <c r="J22" s="98"/>
      <c r="K22" s="98"/>
      <c r="L22" s="98"/>
      <c r="M22" s="98"/>
    </row>
    <row r="23" spans="1:16" s="66" customFormat="1" ht="36.75" customHeight="1">
      <c r="A23" s="67"/>
      <c r="B23" s="245" t="s">
        <v>282</v>
      </c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</row>
    <row r="24" spans="1:16" ht="35.1" customHeight="1">
      <c r="B24" s="253" t="s">
        <v>402</v>
      </c>
      <c r="C24" s="253"/>
      <c r="D24" s="99"/>
      <c r="E24" s="271" t="str">
        <f>IFERROR(VLOOKUP(D24,'(수정금지) 기준정보'!C220:F225,4,FALSE),"")</f>
        <v/>
      </c>
      <c r="F24" s="271"/>
      <c r="G24" s="230" t="s">
        <v>284</v>
      </c>
      <c r="H24" s="334"/>
      <c r="I24" s="334"/>
      <c r="J24" s="334"/>
      <c r="K24" s="334"/>
      <c r="L24" s="334"/>
      <c r="M24" s="334"/>
      <c r="N24" s="100"/>
      <c r="O24" s="100"/>
    </row>
    <row r="25" spans="1:16" ht="35.1" customHeight="1">
      <c r="B25" s="253" t="s">
        <v>403</v>
      </c>
      <c r="C25" s="253"/>
      <c r="D25" s="99"/>
      <c r="E25" s="271" t="str">
        <f>IFERROR(VLOOKUP(D25,'(수정금지) 기준정보'!D220:F225,3,FALSE),"")</f>
        <v/>
      </c>
      <c r="F25" s="271"/>
      <c r="G25" s="230" t="s">
        <v>404</v>
      </c>
      <c r="H25" s="334"/>
      <c r="I25" s="334"/>
      <c r="J25" s="334"/>
      <c r="K25" s="334"/>
      <c r="L25" s="334"/>
      <c r="M25" s="334"/>
      <c r="N25" s="100"/>
      <c r="O25" s="100"/>
    </row>
    <row r="26" spans="1:16" ht="35.1" customHeight="1">
      <c r="B26" s="253" t="s">
        <v>405</v>
      </c>
      <c r="C26" s="253"/>
      <c r="D26" s="99"/>
      <c r="E26" s="271" t="str">
        <f>IFERROR(VLOOKUP(D26,'(수정금지) 기준정보'!E220:F225,2,FALSE),"")</f>
        <v/>
      </c>
      <c r="F26" s="271"/>
      <c r="G26" s="278" t="s">
        <v>406</v>
      </c>
      <c r="H26" s="335"/>
      <c r="I26" s="335"/>
      <c r="J26" s="335"/>
      <c r="K26" s="335"/>
      <c r="L26" s="335"/>
      <c r="M26" s="335"/>
      <c r="N26" s="100"/>
      <c r="O26" s="100"/>
    </row>
    <row r="27" spans="1:16" ht="35.1" customHeight="1">
      <c r="B27" s="253" t="s">
        <v>289</v>
      </c>
      <c r="C27" s="253"/>
      <c r="D27" s="253"/>
      <c r="E27" s="271">
        <f>SUM(E24:E26)</f>
        <v>0</v>
      </c>
      <c r="F27" s="272"/>
      <c r="G27" s="230" t="s">
        <v>290</v>
      </c>
      <c r="H27" s="334"/>
      <c r="I27" s="334"/>
      <c r="J27" s="334"/>
      <c r="K27" s="334"/>
      <c r="L27" s="334"/>
      <c r="M27" s="334"/>
      <c r="N27" s="100"/>
      <c r="O27" s="100"/>
    </row>
    <row r="28" spans="1:16" ht="35.1" customHeight="1">
      <c r="B28" s="228" t="s">
        <v>291</v>
      </c>
      <c r="C28" s="228"/>
      <c r="D28" s="241"/>
      <c r="E28" s="270">
        <f>IF(E27&lt;3.5,1,IF(E27&lt;6.5,2,IF(E27&lt;9.5,3,IF(E27&lt;12.5,4,5))))</f>
        <v>1</v>
      </c>
      <c r="F28" s="270"/>
      <c r="G28" s="243" t="s">
        <v>292</v>
      </c>
      <c r="H28" s="334"/>
      <c r="I28" s="334"/>
      <c r="J28" s="334"/>
      <c r="K28" s="334"/>
      <c r="L28" s="334"/>
      <c r="M28" s="334"/>
      <c r="N28" s="100"/>
      <c r="O28" s="100"/>
    </row>
    <row r="29" spans="1:16" ht="12" customHeight="1">
      <c r="A29" s="97"/>
      <c r="B29" s="97"/>
      <c r="C29" s="97"/>
      <c r="D29" s="97"/>
      <c r="E29" s="97"/>
      <c r="F29" s="97"/>
      <c r="G29" s="101"/>
      <c r="H29" s="101"/>
      <c r="I29" s="101"/>
      <c r="J29" s="101"/>
      <c r="K29" s="101"/>
      <c r="L29" s="101"/>
      <c r="M29" s="101"/>
      <c r="N29" s="3"/>
      <c r="P29" s="97"/>
    </row>
    <row r="30" spans="1:16" ht="19.5" customHeight="1">
      <c r="B30" s="84" t="s">
        <v>293</v>
      </c>
      <c r="G30" s="98"/>
      <c r="H30" s="98"/>
      <c r="I30" s="98"/>
      <c r="J30" s="98"/>
      <c r="K30" s="98"/>
      <c r="L30" s="98"/>
      <c r="M30" s="98"/>
      <c r="N30" s="3"/>
    </row>
    <row r="31" spans="1:16" s="66" customFormat="1" ht="24" customHeight="1">
      <c r="A31" s="67"/>
      <c r="B31" s="245" t="s">
        <v>294</v>
      </c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</row>
    <row r="32" spans="1:16" ht="35.1" customHeight="1">
      <c r="A32" s="97"/>
      <c r="B32" s="228" t="s">
        <v>295</v>
      </c>
      <c r="C32" s="228"/>
      <c r="D32" s="228"/>
      <c r="E32" s="229">
        <f>E20*E28</f>
        <v>1</v>
      </c>
      <c r="F32" s="229"/>
      <c r="G32" s="230" t="s">
        <v>296</v>
      </c>
      <c r="H32" s="334"/>
      <c r="I32" s="334"/>
      <c r="J32" s="334"/>
      <c r="K32" s="334"/>
      <c r="L32" s="334"/>
      <c r="M32" s="334"/>
      <c r="P32" s="97"/>
    </row>
    <row r="33" spans="1:16" ht="35.1" customHeight="1">
      <c r="A33" s="97"/>
      <c r="B33" s="228" t="s">
        <v>297</v>
      </c>
      <c r="C33" s="228"/>
      <c r="D33" s="228"/>
      <c r="E33" s="229" t="str">
        <f>IF(E32&lt;3.5,"낮음",IF(E32&lt;8.5,"보통",IF(E32&lt;16.5,"높음","매우 높음")))</f>
        <v>낮음</v>
      </c>
      <c r="F33" s="229"/>
      <c r="G33" s="247" t="str">
        <f>IF(E32&lt;=8,"✅ 허용 가능","🟠 허용 불가 — 저감대책 적용하여 위험도 감소(8이하) 후 도입 가능
     ☞ 하단의 'Ⅳ. 위험성 저감대책 수립' 필수 작성")</f>
        <v>✅ 허용 가능</v>
      </c>
      <c r="H33" s="247"/>
      <c r="I33" s="247"/>
      <c r="J33" s="247"/>
      <c r="K33" s="247"/>
      <c r="L33" s="247"/>
      <c r="M33" s="247"/>
      <c r="P33" s="97"/>
    </row>
    <row r="34" spans="1:16" ht="14.1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P34" s="97"/>
    </row>
    <row r="35" spans="1:16" ht="19.5" customHeight="1">
      <c r="B35" s="84" t="s">
        <v>298</v>
      </c>
    </row>
    <row r="36" spans="1:16" s="66" customFormat="1" ht="65.25" customHeight="1">
      <c r="A36" s="67"/>
      <c r="B36" s="246" t="s">
        <v>407</v>
      </c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</row>
    <row r="37" spans="1:16" s="66" customFormat="1" ht="12" customHeight="1">
      <c r="A37" s="67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</row>
    <row r="38" spans="1:16" ht="19.5" customHeight="1">
      <c r="B38" s="103" t="s">
        <v>300</v>
      </c>
    </row>
    <row r="39" spans="1:16" ht="70.5" customHeight="1">
      <c r="A39" s="104"/>
      <c r="B39" s="245" t="s">
        <v>301</v>
      </c>
      <c r="C39" s="245"/>
      <c r="D39" s="245"/>
      <c r="E39" s="245"/>
      <c r="F39" s="246"/>
      <c r="G39" s="246"/>
      <c r="H39" s="246"/>
      <c r="I39" s="246"/>
      <c r="J39" s="246"/>
      <c r="K39" s="246"/>
      <c r="L39" s="246"/>
      <c r="M39" s="246"/>
      <c r="N39" s="102"/>
      <c r="O39" s="104"/>
    </row>
    <row r="40" spans="1:16" ht="16.5" customHeight="1">
      <c r="A40" s="104"/>
      <c r="B40" s="235" t="s">
        <v>302</v>
      </c>
      <c r="C40" s="235" t="s">
        <v>303</v>
      </c>
      <c r="D40" s="235" t="s">
        <v>304</v>
      </c>
      <c r="E40" s="238" t="s">
        <v>305</v>
      </c>
      <c r="F40" s="273" t="s">
        <v>306</v>
      </c>
      <c r="G40" s="274"/>
      <c r="H40" s="274"/>
      <c r="I40" s="274"/>
      <c r="J40" s="274"/>
      <c r="K40" s="226"/>
      <c r="L40" s="105"/>
      <c r="M40" s="104"/>
    </row>
    <row r="41" spans="1:16" ht="16.5" customHeight="1">
      <c r="A41" s="104"/>
      <c r="B41" s="236"/>
      <c r="C41" s="236"/>
      <c r="D41" s="236"/>
      <c r="E41" s="239"/>
      <c r="F41" s="226" t="s">
        <v>307</v>
      </c>
      <c r="G41" s="227"/>
      <c r="H41" s="227" t="s">
        <v>308</v>
      </c>
      <c r="I41" s="227"/>
      <c r="J41" s="227" t="s">
        <v>309</v>
      </c>
      <c r="K41" s="227"/>
      <c r="L41" s="105"/>
      <c r="M41" s="104"/>
    </row>
    <row r="42" spans="1:16" ht="16.5" customHeight="1">
      <c r="A42" s="104"/>
      <c r="B42" s="237"/>
      <c r="C42" s="237"/>
      <c r="D42" s="237"/>
      <c r="E42" s="240"/>
      <c r="F42" s="106" t="s">
        <v>311</v>
      </c>
      <c r="G42" s="107" t="s">
        <v>312</v>
      </c>
      <c r="H42" s="107" t="s">
        <v>311</v>
      </c>
      <c r="I42" s="107" t="s">
        <v>312</v>
      </c>
      <c r="J42" s="107" t="s">
        <v>311</v>
      </c>
      <c r="K42" s="107" t="s">
        <v>312</v>
      </c>
      <c r="L42" s="105"/>
      <c r="M42" s="104"/>
    </row>
    <row r="43" spans="1:16" ht="33.950000000000003" customHeight="1">
      <c r="A43" s="104"/>
      <c r="B43" s="108" t="s">
        <v>313</v>
      </c>
      <c r="C43" s="109">
        <f>B8</f>
        <v>1</v>
      </c>
      <c r="D43" s="110" t="str">
        <f>D8</f>
        <v>수생 생물 급성 독성</v>
      </c>
      <c r="E43" s="111">
        <f>F8</f>
        <v>0</v>
      </c>
      <c r="F43" s="132" t="str">
        <f>IF(E43&gt;=4, "EN-E-02", "—")</f>
        <v>—</v>
      </c>
      <c r="G43" s="113" t="str">
        <f>IFERROR(VLOOKUP(F43,'⑥ 저감대책DB'!$B:$H,5,FALSE()),"")</f>
        <v/>
      </c>
      <c r="H43" s="132" t="str">
        <f>IF(E43&gt;=4, "EN-O-03", "—")</f>
        <v>—</v>
      </c>
      <c r="I43" s="113" t="str">
        <f>IFERROR(VLOOKUP(H43,'⑥ 저감대책DB'!$B:$H,5,FALSE()),"")</f>
        <v/>
      </c>
      <c r="J43" s="132" t="str">
        <f>IF(E43&gt;=4, "EN-A-04", "—")</f>
        <v>—</v>
      </c>
      <c r="K43" s="113" t="str">
        <f>IFERROR(VLOOKUP(J43,'⑥ 저감대책DB'!$B:$H,5,FALSE()),"")</f>
        <v/>
      </c>
      <c r="L43" s="105"/>
      <c r="M43" s="104"/>
    </row>
    <row r="44" spans="1:16" ht="33.950000000000003" customHeight="1">
      <c r="A44" s="104"/>
      <c r="B44" s="108" t="s">
        <v>313</v>
      </c>
      <c r="C44" s="109">
        <f t="shared" ref="C44:C50" si="0">B9</f>
        <v>2</v>
      </c>
      <c r="D44" s="110" t="str">
        <f t="shared" ref="D44:D50" si="1">D9</f>
        <v>수생 생물 만성 독성</v>
      </c>
      <c r="E44" s="111">
        <f t="shared" ref="E44:E49" si="2">F9</f>
        <v>0</v>
      </c>
      <c r="F44" s="132" t="str">
        <f>IF(E44&gt;=4, "EN-E-02", "—")</f>
        <v>—</v>
      </c>
      <c r="G44" s="113" t="str">
        <f>IFERROR(VLOOKUP(F44,'⑥ 저감대책DB'!$B:$H,5,FALSE()),"")</f>
        <v/>
      </c>
      <c r="H44" s="132" t="str">
        <f>IF(E44&gt;=4, "EN-O-02", "—")</f>
        <v>—</v>
      </c>
      <c r="I44" s="113" t="str">
        <f>IFERROR(VLOOKUP(H44,'⑥ 저감대책DB'!$B:$H,5,FALSE()),"")</f>
        <v/>
      </c>
      <c r="J44" s="132" t="str">
        <f>IF(E44&gt;=4, "EN-A-05", "—")</f>
        <v>—</v>
      </c>
      <c r="K44" s="113" t="str">
        <f>IFERROR(VLOOKUP(J44,'⑥ 저감대책DB'!$B:$H,5,FALSE()),"")</f>
        <v/>
      </c>
      <c r="L44" s="105"/>
      <c r="M44" s="104"/>
    </row>
    <row r="45" spans="1:16" ht="33.950000000000003" customHeight="1">
      <c r="B45" s="108" t="s">
        <v>313</v>
      </c>
      <c r="C45" s="109">
        <f t="shared" si="0"/>
        <v>3</v>
      </c>
      <c r="D45" s="110" t="str">
        <f t="shared" si="1"/>
        <v>수계 분해성·생분해도</v>
      </c>
      <c r="E45" s="111">
        <f t="shared" si="2"/>
        <v>0</v>
      </c>
      <c r="F45" s="133" t="str">
        <f>IF(E45&gt;=4, "EN-E-08", "—")</f>
        <v>—</v>
      </c>
      <c r="G45" s="113" t="str">
        <f>IFERROR(VLOOKUP(F45,'⑥ 저감대책DB'!$B:$H,5,FALSE()),"")</f>
        <v/>
      </c>
      <c r="H45" s="133" t="str">
        <f>IF(E45&gt;=4, "EN-O-01", "—")</f>
        <v>—</v>
      </c>
      <c r="I45" s="113" t="str">
        <f>IFERROR(VLOOKUP(H45,'⑥ 저감대책DB'!$B:$H,5,FALSE()),"")</f>
        <v/>
      </c>
      <c r="J45" s="133" t="str">
        <f>IF(E45&gt;=4, "EN-A-05", "—")</f>
        <v>—</v>
      </c>
      <c r="K45" s="113" t="str">
        <f>IFERROR(VLOOKUP(J45,'⑥ 저감대책DB'!$B:$H,5,FALSE()),"")</f>
        <v/>
      </c>
      <c r="L45" s="105"/>
    </row>
    <row r="46" spans="1:16" ht="33.950000000000003" customHeight="1">
      <c r="B46" s="108" t="s">
        <v>313</v>
      </c>
      <c r="C46" s="109">
        <f t="shared" si="0"/>
        <v>4</v>
      </c>
      <c r="D46" s="110" t="str">
        <f t="shared" si="1"/>
        <v>토양 흡착성·이동성 (Koc / logKow)</v>
      </c>
      <c r="E46" s="111">
        <f t="shared" si="2"/>
        <v>0</v>
      </c>
      <c r="F46" s="133" t="str">
        <f>IF(E46&gt;=4, "EN-E-05", "—")</f>
        <v>—</v>
      </c>
      <c r="G46" s="113" t="str">
        <f>IFERROR(VLOOKUP(F46,'⑥ 저감대책DB'!$B:$H,5,FALSE()),"")</f>
        <v/>
      </c>
      <c r="H46" s="133" t="str">
        <f>IF(E46&gt;=4, "EN-O-03", "—")</f>
        <v>—</v>
      </c>
      <c r="I46" s="113" t="str">
        <f>IFERROR(VLOOKUP(H46,'⑥ 저감대책DB'!$B:$H,5,FALSE()),"")</f>
        <v/>
      </c>
      <c r="J46" s="133" t="str">
        <f>IF(E46&gt;=4, "EN-A-03", "—")</f>
        <v>—</v>
      </c>
      <c r="K46" s="113" t="str">
        <f>IFERROR(VLOOKUP(J46,'⑥ 저감대책DB'!$B:$H,5,FALSE()),"")</f>
        <v/>
      </c>
      <c r="L46" s="105"/>
    </row>
    <row r="47" spans="1:16" ht="33.950000000000003" customHeight="1">
      <c r="B47" s="108" t="s">
        <v>313</v>
      </c>
      <c r="C47" s="109">
        <f t="shared" si="0"/>
        <v>5</v>
      </c>
      <c r="D47" s="110" t="str">
        <f t="shared" si="1"/>
        <v>토양 잔류성 (반감기 DT50)</v>
      </c>
      <c r="E47" s="111">
        <f t="shared" si="2"/>
        <v>0</v>
      </c>
      <c r="F47" s="133" t="str">
        <f>IF(E47&gt;=4, "EN-E-06", "—")</f>
        <v>—</v>
      </c>
      <c r="G47" s="113" t="str">
        <f>IFERROR(VLOOKUP(F47,'⑥ 저감대책DB'!$B:$H,5,FALSE()),"")</f>
        <v/>
      </c>
      <c r="H47" s="133" t="str">
        <f>IF(E47&gt;=4, "EN-O-01", "—")</f>
        <v>—</v>
      </c>
      <c r="I47" s="113" t="str">
        <f>IFERROR(VLOOKUP(H47,'⑥ 저감대책DB'!$B:$H,5,FALSE()),"")</f>
        <v/>
      </c>
      <c r="J47" s="133" t="str">
        <f>IF(E47&gt;=4, "EN-A-05", "—")</f>
        <v>—</v>
      </c>
      <c r="K47" s="113" t="str">
        <f>IFERROR(VLOOKUP(J47,'⑥ 저감대책DB'!$B:$H,5,FALSE()),"")</f>
        <v/>
      </c>
      <c r="L47" s="105"/>
    </row>
    <row r="48" spans="1:16" ht="33.950000000000003" customHeight="1">
      <c r="B48" s="108" t="s">
        <v>313</v>
      </c>
      <c r="C48" s="109">
        <f t="shared" si="0"/>
        <v>6</v>
      </c>
      <c r="D48" s="110" t="str">
        <f t="shared" si="1"/>
        <v>생물농축성 (BCF 또는 logKow)</v>
      </c>
      <c r="E48" s="111">
        <f t="shared" si="2"/>
        <v>0</v>
      </c>
      <c r="F48" s="133" t="str">
        <f>IF(E48&gt;=4, "EN-E-01", "—")</f>
        <v>—</v>
      </c>
      <c r="G48" s="113" t="str">
        <f>IFERROR(VLOOKUP(F48,'⑥ 저감대책DB'!$B:$H,5,FALSE()),"")</f>
        <v/>
      </c>
      <c r="H48" s="133" t="str">
        <f>IF(E48&gt;=4, "EN-O-05", "—")</f>
        <v>—</v>
      </c>
      <c r="I48" s="113" t="str">
        <f>IFERROR(VLOOKUP(H48,'⑥ 저감대책DB'!$B:$H,5,FALSE()),"")</f>
        <v/>
      </c>
      <c r="J48" s="133" t="str">
        <f>IF(E48&gt;=4, "EN-A-07", "—")</f>
        <v>—</v>
      </c>
      <c r="K48" s="113" t="str">
        <f>IFERROR(VLOOKUP(J48,'⑥ 저감대책DB'!$B:$H,5,FALSE()),"")</f>
        <v/>
      </c>
      <c r="L48" s="105"/>
    </row>
    <row r="49" spans="1:20" ht="33.950000000000003" customHeight="1">
      <c r="B49" s="108" t="s">
        <v>313</v>
      </c>
      <c r="C49" s="109">
        <f t="shared" si="0"/>
        <v>7</v>
      </c>
      <c r="D49" s="110" t="str">
        <f t="shared" si="1"/>
        <v>PBT/vPvB 복합 특성</v>
      </c>
      <c r="E49" s="111">
        <f t="shared" si="2"/>
        <v>0</v>
      </c>
      <c r="F49" s="133" t="str">
        <f>IF(E49&gt;=4, "EN-E-01", "—")</f>
        <v>—</v>
      </c>
      <c r="G49" s="113" t="str">
        <f>IFERROR(VLOOKUP(F49,'⑥ 저감대책DB'!$B:$H,5,FALSE()),"")</f>
        <v/>
      </c>
      <c r="H49" s="133" t="str">
        <f>IF(E49&gt;=4, "EN-O-05", "—")</f>
        <v>—</v>
      </c>
      <c r="I49" s="113" t="str">
        <f>IFERROR(VLOOKUP(H49,'⑥ 저감대책DB'!$B:$H,5,FALSE()),"")</f>
        <v/>
      </c>
      <c r="J49" s="133" t="str">
        <f>IF(E49&gt;=4, "EN-A-07", "—")</f>
        <v>—</v>
      </c>
      <c r="K49" s="113" t="str">
        <f>IFERROR(VLOOKUP(J49,'⑥ 저감대책DB'!$B:$H,5,FALSE()),"")</f>
        <v/>
      </c>
      <c r="L49" s="105"/>
    </row>
    <row r="50" spans="1:20" ht="33.950000000000003" customHeight="1">
      <c r="B50" s="108" t="s">
        <v>313</v>
      </c>
      <c r="C50" s="109">
        <f t="shared" si="0"/>
        <v>8</v>
      </c>
      <c r="D50" s="110" t="str">
        <f t="shared" si="1"/>
        <v>대기오염 영향 (VOC, ODS)</v>
      </c>
      <c r="E50" s="111">
        <f>F15</f>
        <v>0</v>
      </c>
      <c r="F50" s="133" t="str">
        <f>IF(E50&gt;=4, "EN-E-04", "—")</f>
        <v>—</v>
      </c>
      <c r="G50" s="113" t="str">
        <f>IFERROR(VLOOKUP(F50,'⑥ 저감대책DB'!$B:$H,5,FALSE()),"")</f>
        <v/>
      </c>
      <c r="H50" s="133" t="str">
        <f>IF(E50&gt;=4, "EN-O-05", "—")</f>
        <v>—</v>
      </c>
      <c r="I50" s="113" t="str">
        <f>IFERROR(VLOOKUP(H50,'⑥ 저감대책DB'!$B:$H,5,FALSE()),"")</f>
        <v/>
      </c>
      <c r="J50" s="133" t="str">
        <f>IF(E50&gt;=4, "EN-A-01", "—")</f>
        <v>—</v>
      </c>
      <c r="K50" s="113" t="str">
        <f>IFERROR(VLOOKUP(J50,'⑥ 저감대책DB'!$B:$H,5,FALSE()),"")</f>
        <v/>
      </c>
      <c r="L50" s="105"/>
    </row>
    <row r="51" spans="1:20" ht="33.950000000000003" customHeight="1">
      <c r="B51" s="116" t="s">
        <v>314</v>
      </c>
      <c r="C51" s="115">
        <v>1</v>
      </c>
      <c r="D51" s="117" t="str">
        <f>B24</f>
        <v>① 취급 횟수</v>
      </c>
      <c r="E51" s="111" t="str">
        <f>E24</f>
        <v/>
      </c>
      <c r="F51" s="133" t="str">
        <f>IF(E51&gt;=4, "—", "—")</f>
        <v>—</v>
      </c>
      <c r="G51" s="113" t="str">
        <f>IFERROR(VLOOKUP(F51,'⑥ 저감대책DB'!$B:$H,5,FALSE()),"")</f>
        <v/>
      </c>
      <c r="H51" s="133" t="str">
        <f>IF(E51&gt;=4, "EN-O-05", "—")</f>
        <v>EN-O-05</v>
      </c>
      <c r="I51" s="113" t="str">
        <f>IFERROR(VLOOKUP(H51,'⑥ 저감대책DB'!$B:$H,5,FALSE()),"")</f>
        <v>취급량 최소화·소분 사용</v>
      </c>
      <c r="J51" s="133" t="str">
        <f>IF(E51&gt;=4, "EN-A-04", "—")</f>
        <v>EN-A-04</v>
      </c>
      <c r="K51" s="113" t="str">
        <f>IFERROR(VLOOKUP(J51,'⑥ 저감대책DB'!$B:$H,5,FALSE()),"")</f>
        <v>정기 환경 모니터링·자가측정</v>
      </c>
      <c r="L51" s="105"/>
    </row>
    <row r="52" spans="1:20" ht="33.950000000000003" customHeight="1">
      <c r="B52" s="116" t="s">
        <v>314</v>
      </c>
      <c r="C52" s="115">
        <f>2</f>
        <v>2</v>
      </c>
      <c r="D52" s="117" t="str">
        <f t="shared" ref="D52:D53" si="3">B25</f>
        <v>② 1회 취급량</v>
      </c>
      <c r="E52" s="111" t="str">
        <f t="shared" ref="E52:E53" si="4">E25</f>
        <v/>
      </c>
      <c r="F52" s="133" t="str">
        <f>IF(E52&gt;=4, "—", "—")</f>
        <v>—</v>
      </c>
      <c r="G52" s="113" t="str">
        <f>IFERROR(VLOOKUP(F52,'⑥ 저감대책DB'!$B:$H,5,FALSE()),"")</f>
        <v/>
      </c>
      <c r="H52" s="133" t="str">
        <f>IF(E52&gt;=4, "EN-O-05", "—")</f>
        <v>EN-O-05</v>
      </c>
      <c r="I52" s="113" t="str">
        <f>IFERROR(VLOOKUP(H52,'⑥ 저감대책DB'!$B:$H,5,FALSE()),"")</f>
        <v>취급량 최소화·소분 사용</v>
      </c>
      <c r="J52" s="133" t="str">
        <f>IF(E52&gt;=4, "EN-A-04", "—")</f>
        <v>EN-A-04</v>
      </c>
      <c r="K52" s="113" t="str">
        <f>IFERROR(VLOOKUP(J52,'⑥ 저감대책DB'!$B:$H,5,FALSE()),"")</f>
        <v>정기 환경 모니터링·자가측정</v>
      </c>
      <c r="L52" s="105"/>
    </row>
    <row r="53" spans="1:20" ht="33.950000000000003" customHeight="1">
      <c r="B53" s="116" t="s">
        <v>314</v>
      </c>
      <c r="C53" s="115">
        <f>3</f>
        <v>3</v>
      </c>
      <c r="D53" s="117" t="str">
        <f t="shared" si="3"/>
        <v>③ 환경 접촉 가능성</v>
      </c>
      <c r="E53" s="111" t="str">
        <f t="shared" si="4"/>
        <v/>
      </c>
      <c r="F53" s="133" t="str">
        <f>IF(E53&gt;=4, "EN-E-13", "—")</f>
        <v>EN-E-13</v>
      </c>
      <c r="G53" s="113" t="str">
        <f>IFERROR(VLOOKUP(F53,'⑥ 저감대책DB'!$B:$H,5,FALSE()),"")</f>
        <v>옥내 보관·옥내 작업 (옥외 풍화 방지)</v>
      </c>
      <c r="H53" s="133" t="str">
        <f>IF(E53&gt;=4, "—", "—")</f>
        <v>—</v>
      </c>
      <c r="I53" s="113" t="str">
        <f>IFERROR(VLOOKUP(H53,'⑥ 저감대책DB'!$B:$H,5,FALSE()),"")</f>
        <v/>
      </c>
      <c r="J53" s="133" t="str">
        <f>IF(E53&gt;=4, "—", "—")</f>
        <v>—</v>
      </c>
      <c r="K53" s="113" t="str">
        <f>IFERROR(VLOOKUP(J53,'⑥ 저감대책DB'!$B:$H,5,FALSE()),"")</f>
        <v/>
      </c>
      <c r="L53" s="105"/>
    </row>
    <row r="54" spans="1:20" ht="12" customHeight="1">
      <c r="B54" s="119"/>
      <c r="C54" s="119"/>
      <c r="D54" s="120"/>
      <c r="E54" s="121"/>
      <c r="F54" s="119"/>
      <c r="G54" s="119"/>
      <c r="H54" s="119"/>
      <c r="I54" s="119"/>
      <c r="J54" s="105"/>
      <c r="K54" s="105"/>
      <c r="L54" s="105"/>
      <c r="M54" s="105"/>
      <c r="N54" s="105"/>
    </row>
    <row r="55" spans="1:20" ht="19.5" customHeight="1">
      <c r="B55" s="103" t="s">
        <v>315</v>
      </c>
    </row>
    <row r="56" spans="1:20" s="66" customFormat="1" ht="81.75" customHeight="1">
      <c r="A56" s="67"/>
      <c r="B56" s="245" t="s">
        <v>408</v>
      </c>
      <c r="C56" s="245"/>
      <c r="D56" s="245"/>
      <c r="E56" s="246"/>
      <c r="F56" s="246"/>
      <c r="G56" s="246"/>
      <c r="H56" s="246"/>
      <c r="I56" s="246"/>
      <c r="J56" s="246"/>
      <c r="K56" s="246"/>
      <c r="L56" s="246"/>
      <c r="M56" s="246"/>
    </row>
    <row r="57" spans="1:20" ht="21.75" customHeight="1">
      <c r="A57" s="104"/>
      <c r="B57" s="231" t="s">
        <v>317</v>
      </c>
      <c r="C57" s="232"/>
      <c r="D57" s="232"/>
      <c r="E57" s="262" t="s">
        <v>318</v>
      </c>
      <c r="F57" s="262"/>
      <c r="G57" s="262" t="s">
        <v>319</v>
      </c>
      <c r="H57" s="262"/>
      <c r="I57" s="262" t="s">
        <v>320</v>
      </c>
      <c r="J57" s="262"/>
      <c r="K57" s="122"/>
      <c r="L57" s="122"/>
      <c r="M57" s="122"/>
      <c r="O57" s="104"/>
    </row>
    <row r="58" spans="1:20" ht="21.75" customHeight="1">
      <c r="A58" s="104"/>
      <c r="B58" s="233"/>
      <c r="C58" s="234"/>
      <c r="D58" s="234"/>
      <c r="E58" s="107" t="s">
        <v>311</v>
      </c>
      <c r="F58" s="107" t="s">
        <v>312</v>
      </c>
      <c r="G58" s="107" t="s">
        <v>311</v>
      </c>
      <c r="H58" s="107" t="s">
        <v>312</v>
      </c>
      <c r="I58" s="107" t="s">
        <v>311</v>
      </c>
      <c r="J58" s="107" t="s">
        <v>312</v>
      </c>
      <c r="K58" s="122"/>
      <c r="L58" s="122"/>
      <c r="M58" s="122"/>
      <c r="O58" s="104"/>
    </row>
    <row r="59" spans="1:20" ht="35.1" customHeight="1">
      <c r="A59" s="104"/>
      <c r="B59" s="258" t="s">
        <v>321</v>
      </c>
      <c r="C59" s="258"/>
      <c r="D59" s="259"/>
      <c r="E59" s="123"/>
      <c r="F59" s="113" t="str">
        <f>IFERROR(VLOOKUP(E59,'⑥ 저감대책DB'!$B:$H,5,FALSE()),"")</f>
        <v/>
      </c>
      <c r="G59" s="123"/>
      <c r="H59" s="113" t="str">
        <f>IFERROR(VLOOKUP(G59,'⑥ 저감대책DB'!$B:$H,5,FALSE()),"")</f>
        <v/>
      </c>
      <c r="I59" s="123"/>
      <c r="J59" s="113" t="str">
        <f>IFERROR(VLOOKUP(I59,'⑥ 저감대책DB'!$B:$H,5,FALSE()),"")</f>
        <v/>
      </c>
      <c r="K59" s="125"/>
      <c r="L59" s="125"/>
      <c r="M59" s="125"/>
      <c r="O59" s="104"/>
      <c r="P59" s="126">
        <f>IFERROR(VLOOKUP(E59,'⑥ 저감대책DB'!$B:$E,4,FALSE()),0)</f>
        <v>0</v>
      </c>
      <c r="Q59" s="126">
        <f>IFERROR(VLOOKUP(G59,'⑥ 저감대책DB'!$B:$E,4,FALSE()),0)</f>
        <v>0</v>
      </c>
      <c r="R59" s="126">
        <f>IFERROR(VLOOKUP(I59,'⑥ 저감대책DB'!$B:$E,4,FALSE()),0)</f>
        <v>0</v>
      </c>
      <c r="S59" s="126">
        <f>MIN(P59:R59)*1 + MEDIAN(P59:R59)*0.75 + MAX(P59:R59)*0.5</f>
        <v>0</v>
      </c>
      <c r="T59" s="127">
        <f>S59*1 + S60*0.75 + S61*0.5</f>
        <v>0</v>
      </c>
    </row>
    <row r="60" spans="1:20" ht="35.1" customHeight="1">
      <c r="A60" s="104"/>
      <c r="B60" s="258" t="s">
        <v>322</v>
      </c>
      <c r="C60" s="258"/>
      <c r="D60" s="259"/>
      <c r="E60" s="123"/>
      <c r="F60" s="113" t="str">
        <f>IFERROR(VLOOKUP(E60,'⑥ 저감대책DB'!$B:$H,5,FALSE()),"")</f>
        <v/>
      </c>
      <c r="G60" s="123"/>
      <c r="H60" s="113" t="str">
        <f>IFERROR(VLOOKUP(G60,'⑥ 저감대책DB'!$B:$H,5,FALSE()),"")</f>
        <v/>
      </c>
      <c r="I60" s="123"/>
      <c r="J60" s="113" t="str">
        <f>IFERROR(VLOOKUP(I60,'⑥ 저감대책DB'!$B:$H,5,FALSE()),"")</f>
        <v/>
      </c>
      <c r="K60" s="125"/>
      <c r="L60" s="125"/>
      <c r="M60" s="125"/>
      <c r="O60" s="104"/>
      <c r="P60" s="126">
        <f>IFERROR(VLOOKUP(E60,'⑥ 저감대책DB'!$B:$E,4,FALSE()),0)</f>
        <v>0</v>
      </c>
      <c r="Q60" s="126">
        <f>IFERROR(VLOOKUP(G60,'⑥ 저감대책DB'!$B:$E,4,FALSE()),0)</f>
        <v>0</v>
      </c>
      <c r="R60" s="126">
        <f>IFERROR(VLOOKUP(I60,'⑥ 저감대책DB'!$B:$E,4,FALSE()),0)</f>
        <v>0</v>
      </c>
      <c r="S60" s="126">
        <f t="shared" ref="S60:S61" si="5">MIN(P60:R60)*1 + MEDIAN(P60:R60)*0.75 + MAX(P60:R60)*0.5</f>
        <v>0</v>
      </c>
      <c r="T60" s="127">
        <f>MAX(T59, -E27*0.6)</f>
        <v>0</v>
      </c>
    </row>
    <row r="61" spans="1:20" ht="35.1" customHeight="1">
      <c r="A61" s="104"/>
      <c r="B61" s="258" t="s">
        <v>323</v>
      </c>
      <c r="C61" s="258"/>
      <c r="D61" s="259"/>
      <c r="E61" s="123"/>
      <c r="F61" s="113" t="str">
        <f>IFERROR(VLOOKUP(E61,'⑥ 저감대책DB'!$B:$H,5,FALSE()),"")</f>
        <v/>
      </c>
      <c r="G61" s="123"/>
      <c r="H61" s="113" t="str">
        <f>IFERROR(VLOOKUP(G61,'⑥ 저감대책DB'!$B:$H,5,FALSE()),"")</f>
        <v/>
      </c>
      <c r="I61" s="123"/>
      <c r="J61" s="113" t="str">
        <f>IFERROR(VLOOKUP(I61,'⑥ 저감대책DB'!$B:$H,5,FALSE()),"")</f>
        <v/>
      </c>
      <c r="K61" s="125"/>
      <c r="L61" s="125"/>
      <c r="M61" s="125"/>
      <c r="O61" s="104"/>
      <c r="P61" s="126">
        <f>IFERROR(VLOOKUP(E61,'⑥ 저감대책DB'!$B:$E,4,FALSE()),0)</f>
        <v>0</v>
      </c>
      <c r="Q61" s="126">
        <f>IFERROR(VLOOKUP(G61,'⑥ 저감대책DB'!$B:$E,4,FALSE()),0)</f>
        <v>0</v>
      </c>
      <c r="R61" s="126">
        <f>IFERROR(VLOOKUP(I61,'⑥ 저감대책DB'!$B:$E,4,FALSE()),0)</f>
        <v>0</v>
      </c>
      <c r="S61" s="126">
        <f t="shared" si="5"/>
        <v>0</v>
      </c>
      <c r="T61" s="128">
        <f>MAX(3, E27 + T60)</f>
        <v>3</v>
      </c>
    </row>
    <row r="62" spans="1:20" ht="55.5" customHeight="1">
      <c r="A62" s="104"/>
      <c r="B62" s="248" t="s">
        <v>325</v>
      </c>
      <c r="C62" s="248"/>
      <c r="D62" s="249"/>
      <c r="E62" s="275" t="s">
        <v>409</v>
      </c>
      <c r="F62" s="276"/>
      <c r="G62" s="276"/>
      <c r="H62" s="276"/>
      <c r="I62" s="276"/>
      <c r="J62" s="277"/>
      <c r="K62" s="125"/>
      <c r="L62" s="125"/>
      <c r="M62" s="125"/>
      <c r="O62" s="104"/>
    </row>
    <row r="63" spans="1:20" ht="12" customHeight="1">
      <c r="B63" s="119"/>
      <c r="C63" s="119"/>
      <c r="D63" s="120"/>
      <c r="E63" s="121"/>
      <c r="F63" s="119"/>
      <c r="G63" s="119"/>
      <c r="H63" s="119"/>
      <c r="I63" s="119"/>
      <c r="J63" s="105"/>
      <c r="K63" s="105"/>
      <c r="L63" s="105"/>
      <c r="M63" s="105"/>
      <c r="N63" s="105"/>
    </row>
    <row r="64" spans="1:20" ht="19.5" customHeight="1">
      <c r="B64" s="103" t="s">
        <v>327</v>
      </c>
    </row>
    <row r="65" spans="1:16" ht="39.75" customHeight="1">
      <c r="A65" s="104"/>
      <c r="B65" s="228" t="s">
        <v>328</v>
      </c>
      <c r="C65" s="228"/>
      <c r="D65" s="228"/>
      <c r="E65" s="250">
        <f>T61</f>
        <v>3</v>
      </c>
      <c r="F65" s="250"/>
      <c r="G65" s="230" t="s">
        <v>410</v>
      </c>
      <c r="H65" s="334"/>
      <c r="I65" s="334"/>
      <c r="J65" s="334"/>
      <c r="K65" s="334"/>
      <c r="L65" s="334"/>
      <c r="M65" s="334"/>
      <c r="O65" s="104"/>
    </row>
    <row r="66" spans="1:16" ht="36.950000000000003" customHeight="1">
      <c r="B66" s="228" t="s">
        <v>330</v>
      </c>
      <c r="C66" s="228"/>
      <c r="D66" s="241"/>
      <c r="E66" s="242">
        <f>IF(E65&lt;3.5,1,IF(E65&lt;6.5,2,IF(E65&lt;9.5,3,IF(E65&lt;12.5,4,5))))</f>
        <v>1</v>
      </c>
      <c r="F66" s="242"/>
      <c r="G66" s="243" t="s">
        <v>292</v>
      </c>
      <c r="H66" s="334"/>
      <c r="I66" s="334"/>
      <c r="J66" s="334"/>
      <c r="K66" s="334"/>
      <c r="L66" s="334"/>
      <c r="M66" s="334"/>
      <c r="N66" s="100"/>
      <c r="O66" s="100"/>
    </row>
    <row r="67" spans="1:16" ht="6.75" customHeight="1">
      <c r="G67" s="130"/>
      <c r="H67" s="130"/>
      <c r="I67" s="130"/>
      <c r="J67" s="130"/>
      <c r="K67" s="130"/>
      <c r="L67" s="130"/>
      <c r="M67" s="130"/>
    </row>
    <row r="68" spans="1:16" ht="36.950000000000003" customHeight="1">
      <c r="A68" s="97"/>
      <c r="B68" s="228" t="s">
        <v>331</v>
      </c>
      <c r="C68" s="228"/>
      <c r="D68" s="228"/>
      <c r="E68" s="229">
        <f>E20*E66</f>
        <v>1</v>
      </c>
      <c r="F68" s="229"/>
      <c r="G68" s="230" t="s">
        <v>296</v>
      </c>
      <c r="H68" s="334"/>
      <c r="I68" s="334"/>
      <c r="J68" s="334"/>
      <c r="K68" s="334"/>
      <c r="L68" s="334"/>
      <c r="M68" s="334"/>
      <c r="P68" s="97"/>
    </row>
    <row r="69" spans="1:16" ht="36.950000000000003" customHeight="1">
      <c r="A69" s="97"/>
      <c r="B69" s="228" t="s">
        <v>297</v>
      </c>
      <c r="C69" s="228"/>
      <c r="D69" s="228"/>
      <c r="E69" s="229" t="str">
        <f>IF(E68&lt;3.5,"저",IF(E68&lt;8.5,"중",IF(E68&lt;16.5,"고","허용 불가")))</f>
        <v>저</v>
      </c>
      <c r="F69" s="229"/>
      <c r="G69" s="247" t="str">
        <f>IF(E68&lt;=8,"✅ 허용 가능","🟠 허용 불가 — 저감대책 추가 적용 검토. 위험도 감소(8이하) 후 도입 가능")</f>
        <v>✅ 허용 가능</v>
      </c>
      <c r="H69" s="247"/>
      <c r="I69" s="247"/>
      <c r="J69" s="247"/>
      <c r="K69" s="247"/>
      <c r="L69" s="247"/>
      <c r="M69" s="247"/>
      <c r="P69" s="97"/>
    </row>
  </sheetData>
  <mergeCells count="77">
    <mergeCell ref="A2:N2"/>
    <mergeCell ref="B5:M5"/>
    <mergeCell ref="B6:B7"/>
    <mergeCell ref="C6:C7"/>
    <mergeCell ref="D6:D7"/>
    <mergeCell ref="E6:E7"/>
    <mergeCell ref="F6:F7"/>
    <mergeCell ref="G6:L6"/>
    <mergeCell ref="M6:M7"/>
    <mergeCell ref="B17:D17"/>
    <mergeCell ref="E17:F17"/>
    <mergeCell ref="G17:M17"/>
    <mergeCell ref="B18:D18"/>
    <mergeCell ref="E18:F18"/>
    <mergeCell ref="G18:M18"/>
    <mergeCell ref="B19:D19"/>
    <mergeCell ref="E19:F19"/>
    <mergeCell ref="G19:M19"/>
    <mergeCell ref="B20:D20"/>
    <mergeCell ref="E20:F20"/>
    <mergeCell ref="G20:M20"/>
    <mergeCell ref="B23:M23"/>
    <mergeCell ref="B24:C24"/>
    <mergeCell ref="E24:F24"/>
    <mergeCell ref="G24:M24"/>
    <mergeCell ref="B25:C25"/>
    <mergeCell ref="E25:F25"/>
    <mergeCell ref="G25:M25"/>
    <mergeCell ref="B26:C26"/>
    <mergeCell ref="E26:F26"/>
    <mergeCell ref="G26:M26"/>
    <mergeCell ref="B27:D27"/>
    <mergeCell ref="E27:F27"/>
    <mergeCell ref="G27:M27"/>
    <mergeCell ref="B28:D28"/>
    <mergeCell ref="E28:F28"/>
    <mergeCell ref="G28:M28"/>
    <mergeCell ref="B31:M31"/>
    <mergeCell ref="B32:D32"/>
    <mergeCell ref="E32:F32"/>
    <mergeCell ref="G32:M32"/>
    <mergeCell ref="G57:H57"/>
    <mergeCell ref="I57:J57"/>
    <mergeCell ref="B33:D33"/>
    <mergeCell ref="E33:F33"/>
    <mergeCell ref="G33:M33"/>
    <mergeCell ref="B36:M36"/>
    <mergeCell ref="B39:M39"/>
    <mergeCell ref="B40:B42"/>
    <mergeCell ref="C40:C42"/>
    <mergeCell ref="D40:D42"/>
    <mergeCell ref="E40:E42"/>
    <mergeCell ref="B69:D69"/>
    <mergeCell ref="E69:F69"/>
    <mergeCell ref="G69:M69"/>
    <mergeCell ref="B65:D65"/>
    <mergeCell ref="E65:F65"/>
    <mergeCell ref="G65:M65"/>
    <mergeCell ref="B66:D66"/>
    <mergeCell ref="E66:F66"/>
    <mergeCell ref="G66:M66"/>
    <mergeCell ref="A1:N1"/>
    <mergeCell ref="F40:K40"/>
    <mergeCell ref="B68:D68"/>
    <mergeCell ref="E68:F68"/>
    <mergeCell ref="G68:M68"/>
    <mergeCell ref="B59:D59"/>
    <mergeCell ref="B60:D60"/>
    <mergeCell ref="B61:D61"/>
    <mergeCell ref="B62:D62"/>
    <mergeCell ref="E62:J62"/>
    <mergeCell ref="F41:G41"/>
    <mergeCell ref="H41:I41"/>
    <mergeCell ref="J41:K41"/>
    <mergeCell ref="B56:M56"/>
    <mergeCell ref="B57:D58"/>
    <mergeCell ref="E57:F57"/>
  </mergeCells>
  <phoneticPr fontId="1" type="noConversion"/>
  <conditionalFormatting sqref="E43:E53">
    <cfRule type="cellIs" dxfId="2" priority="1" operator="greaterThan">
      <formula>3</formula>
    </cfRule>
  </conditionalFormatting>
  <dataValidations count="3">
    <dataValidation sqref="F34:F35 F38 F64 F55" xr:uid="{A8A629C8-D6D1-4FAF-87DB-F844EE4303A7}"/>
    <dataValidation type="list" allowBlank="1" showDropDown="1" showInputMessage="1" showErrorMessage="1" sqref="F8:F15" xr:uid="{507F9DB6-F732-4B22-8720-9B61B47096DC}">
      <formula1>"1,2,3,4,5"</formula1>
    </dataValidation>
    <dataValidation allowBlank="1" showDropDown="1" showInputMessage="1" showErrorMessage="1" sqref="G8:G15" xr:uid="{9F05E19C-B233-4E05-B9C0-EA9A4250E6A0}"/>
  </dataValidations>
  <pageMargins left="0.25" right="0.25" top="0.75" bottom="0.75" header="0.3" footer="0.3"/>
  <pageSetup paperSize="9" scale="77" fitToHeight="0" orientation="landscape" r:id="rId1"/>
  <rowBreaks count="3" manualBreakCount="3">
    <brk id="15" max="13" man="1"/>
    <brk id="33" max="13" man="1"/>
    <brk id="53" max="13" man="1"/>
  </row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F262B3F-1600-4641-86F6-17067C40F38A}">
          <x14:formula1>
            <xm:f>'(수정금지) 기준정보'!$D$221:$D$225</xm:f>
          </x14:formula1>
          <xm:sqref>D25</xm:sqref>
        </x14:dataValidation>
        <x14:dataValidation type="list" allowBlank="1" showInputMessage="1" showErrorMessage="1" xr:uid="{200D98DD-8288-419B-AD47-1746FF83A0D4}">
          <x14:formula1>
            <xm:f>'(수정금지) 기준정보'!$E$221:$E$225</xm:f>
          </x14:formula1>
          <xm:sqref>D26</xm:sqref>
        </x14:dataValidation>
        <x14:dataValidation type="list" allowBlank="1" showInputMessage="1" showErrorMessage="1" xr:uid="{A52A96A0-7B58-44A2-8E41-C21D4E319213}">
          <x14:formula1>
            <xm:f>'(수정금지) 기준정보'!$C$221:$C$225</xm:f>
          </x14:formula1>
          <xm:sqref>D24</xm:sqref>
        </x14:dataValidation>
        <x14:dataValidation type="list" allowBlank="1" showInputMessage="1" showErrorMessage="1" xr:uid="{4173AB68-915E-46C1-9B1E-6311C601EE0B}">
          <x14:formula1>
            <xm:f>'⑥ 저감대책DB'!$B$55:$B$61</xm:f>
          </x14:formula1>
          <xm:sqref>E61 G61 I61</xm:sqref>
        </x14:dataValidation>
        <x14:dataValidation type="list" allowBlank="1" showInputMessage="1" showErrorMessage="1" xr:uid="{67220FEB-80F5-4971-A12A-4EF899E93CFE}">
          <x14:formula1>
            <xm:f>'⑥ 저감대책DB'!$B$48:$B$54</xm:f>
          </x14:formula1>
          <xm:sqref>E60 G60 I60</xm:sqref>
        </x14:dataValidation>
        <x14:dataValidation type="list" allowBlank="1" showInputMessage="1" showErrorMessage="1" xr:uid="{B3CD6C77-BB19-49DF-A1D3-29626B8FECFA}">
          <x14:formula1>
            <xm:f>'⑥ 저감대책DB'!$B$34:$B$47</xm:f>
          </x14:formula1>
          <xm:sqref>E59 G59 I59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BD64-FF0E-46EB-933D-B9DE30FCF999}">
  <sheetPr>
    <tabColor rgb="FF99CCFF"/>
    <pageSetUpPr fitToPage="1"/>
  </sheetPr>
  <dimension ref="A1:T70"/>
  <sheetViews>
    <sheetView showGridLines="0" view="pageBreakPreview" zoomScaleNormal="70" zoomScaleSheetLayoutView="100" workbookViewId="0">
      <selection activeCell="A3" sqref="A3"/>
    </sheetView>
  </sheetViews>
  <sheetFormatPr defaultRowHeight="16.5"/>
  <cols>
    <col min="1" max="1" width="2.375" style="1" customWidth="1"/>
    <col min="2" max="2" width="5" style="1" customWidth="1"/>
    <col min="3" max="3" width="13.125" style="1" customWidth="1"/>
    <col min="4" max="4" width="34.625" style="1" customWidth="1"/>
    <col min="5" max="13" width="12.375" style="1" customWidth="1"/>
    <col min="14" max="14" width="2.375" style="1" customWidth="1"/>
    <col min="15" max="15" width="27.5" style="1" customWidth="1"/>
    <col min="16" max="16" width="9" style="1" customWidth="1"/>
    <col min="17" max="16384" width="9" style="1"/>
  </cols>
  <sheetData>
    <row r="1" spans="1:16" ht="33.950000000000003" customHeight="1">
      <c r="A1" s="325" t="s">
        <v>411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29"/>
    </row>
    <row r="2" spans="1:16" ht="20.100000000000001" customHeight="1">
      <c r="A2" s="326" t="s">
        <v>412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16" ht="8.1" customHeight="1"/>
    <row r="4" spans="1:16" ht="19.5" customHeight="1">
      <c r="B4" s="134" t="s">
        <v>190</v>
      </c>
    </row>
    <row r="5" spans="1:16" s="65" customFormat="1" ht="57" customHeight="1">
      <c r="A5" s="135"/>
      <c r="B5" s="307" t="s">
        <v>413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</row>
    <row r="6" spans="1:16" ht="19.5" customHeight="1">
      <c r="B6" s="327" t="s">
        <v>192</v>
      </c>
      <c r="C6" s="327" t="s">
        <v>24</v>
      </c>
      <c r="D6" s="327" t="s">
        <v>193</v>
      </c>
      <c r="E6" s="327" t="s">
        <v>414</v>
      </c>
      <c r="F6" s="328" t="s">
        <v>415</v>
      </c>
      <c r="G6" s="329" t="s">
        <v>196</v>
      </c>
      <c r="H6" s="329"/>
      <c r="I6" s="329"/>
      <c r="J6" s="329"/>
      <c r="K6" s="329"/>
      <c r="L6" s="329"/>
      <c r="M6" s="327" t="s">
        <v>197</v>
      </c>
    </row>
    <row r="7" spans="1:16" ht="31.5" customHeight="1" thickBot="1">
      <c r="B7" s="327"/>
      <c r="C7" s="327"/>
      <c r="D7" s="327"/>
      <c r="E7" s="327"/>
      <c r="F7" s="328"/>
      <c r="G7" s="38" t="s">
        <v>198</v>
      </c>
      <c r="H7" s="38" t="s">
        <v>416</v>
      </c>
      <c r="I7" s="37" t="s">
        <v>417</v>
      </c>
      <c r="J7" s="37" t="s">
        <v>418</v>
      </c>
      <c r="K7" s="37" t="s">
        <v>419</v>
      </c>
      <c r="L7" s="41" t="s">
        <v>420</v>
      </c>
      <c r="M7" s="327"/>
      <c r="N7" s="34"/>
      <c r="O7" s="136" t="s">
        <v>204</v>
      </c>
    </row>
    <row r="8" spans="1:16" ht="74.099999999999994" customHeight="1">
      <c r="B8" s="30">
        <v>1</v>
      </c>
      <c r="C8" s="33" t="s">
        <v>421</v>
      </c>
      <c r="D8" s="31" t="s">
        <v>422</v>
      </c>
      <c r="E8" s="179">
        <f>IFERROR(MAX(IF('① 기초Data'!D29="H330",5,   IF('① 기초Data'!D29="H331",4,  IF('① 기초Data'!D29="H332",3,  IF('① 기초Data'!D29="H333",3,1)))),
    IF('① 기초Data'!D56&lt;=0.5,5,  IF('① 기초Data'!D56&lt;=2,4, IF('① 기초Data'!D56&lt;=20,3,  IF('① 기초Data'!D56&lt;=50,2,1)))),
    IF('① 기초Data'!D57&lt;=0.5,5,  IF('① 기초Data'!D57&lt;=1,4, IF('① 기초Data'!D57&lt;=5,3,  IF('① 기초Data'!D57&lt;=12.5,2,1))))),"?")</f>
        <v>5</v>
      </c>
      <c r="F8" s="54"/>
      <c r="G8" s="36" t="s">
        <v>423</v>
      </c>
      <c r="H8" s="36" t="s">
        <v>424</v>
      </c>
      <c r="I8" s="32" t="s">
        <v>425</v>
      </c>
      <c r="J8" s="32" t="s">
        <v>426</v>
      </c>
      <c r="K8" s="32" t="s">
        <v>427</v>
      </c>
      <c r="L8" s="32" t="s">
        <v>428</v>
      </c>
      <c r="M8" s="32"/>
      <c r="N8" s="35"/>
      <c r="O8" s="62" t="s">
        <v>429</v>
      </c>
    </row>
    <row r="9" spans="1:16" ht="74.099999999999994" customHeight="1">
      <c r="B9" s="30">
        <v>2</v>
      </c>
      <c r="C9" s="33" t="s">
        <v>421</v>
      </c>
      <c r="D9" s="31" t="s">
        <v>430</v>
      </c>
      <c r="E9" s="179">
        <f>IFERROR(MAX(IF(OR('① 기초Data'!D30="H300",'① 기초Data'!D30="H310"),5,  IF(OR('① 기초Data'!D30="H301",'① 기초Data'!D30="H304",'① 기초Data'!D30="H311"),4,  IF('① 기초Data'!D30="H305",3,  IF(OR('① 기초Data'!D30="H302",'① 기초Data'!D30="H312"),2,   1)))),
    IF('① 기초Data'!D58&lt;=50,5,  IF('① 기초Data'!D58&lt;=300,4, IF('① 기초Data'!D58&lt;=1000,3,  IF('① 기초Data'!D58&lt;=2000,2,1)))),
    IF('① 기초Data'!D59&lt;=200,5,  IF('① 기초Data'!D59&lt;=1000,4, IF('① 기초Data'!D59&lt;=1500,3,  IF('① 기초Data'!D59&lt;=2000,2,1))))),"?")</f>
        <v>5</v>
      </c>
      <c r="F9" s="54"/>
      <c r="G9" s="36" t="s">
        <v>431</v>
      </c>
      <c r="H9" s="36" t="s">
        <v>432</v>
      </c>
      <c r="I9" s="32" t="s">
        <v>433</v>
      </c>
      <c r="J9" s="32" t="s">
        <v>434</v>
      </c>
      <c r="K9" s="32" t="s">
        <v>435</v>
      </c>
      <c r="L9" s="32" t="s">
        <v>436</v>
      </c>
      <c r="M9" s="32"/>
      <c r="N9" s="35"/>
      <c r="O9" s="63" t="s">
        <v>437</v>
      </c>
    </row>
    <row r="10" spans="1:16" ht="56.25" customHeight="1">
      <c r="B10" s="30">
        <v>3</v>
      </c>
      <c r="C10" s="33" t="s">
        <v>421</v>
      </c>
      <c r="D10" s="31" t="s">
        <v>438</v>
      </c>
      <c r="E10" s="179">
        <f>IFERROR(MAX(IF('① 기초Data'!D31="H314 Cat1A",5,  IF(OR('① 기초Data'!D31="H314 Cat1B",'① 기초Data'!D31="H314 Cat1"),4,  IF(OR('① 기초Data'!D31="H315",'① 기초Data'!D31="H317"),3,   IF('① 기초Data'!D31="H316",2,    1)))),
  IF('① 기초Data'!D32="H318",4,  IF('① 기초Data'!D32="H319",3,    IF('① 기초Data'!D32="H320",2,   1)))), "?")</f>
        <v>1</v>
      </c>
      <c r="F10" s="54"/>
      <c r="G10" s="36" t="s">
        <v>439</v>
      </c>
      <c r="H10" s="36" t="s">
        <v>440</v>
      </c>
      <c r="I10" s="32" t="s">
        <v>441</v>
      </c>
      <c r="J10" s="32" t="s">
        <v>442</v>
      </c>
      <c r="K10" s="32" t="s">
        <v>443</v>
      </c>
      <c r="L10" s="32" t="s">
        <v>444</v>
      </c>
      <c r="M10" s="32"/>
      <c r="N10" s="35"/>
      <c r="O10" s="63" t="s">
        <v>445</v>
      </c>
    </row>
    <row r="11" spans="1:16" ht="46.5" customHeight="1">
      <c r="B11" s="30">
        <v>4</v>
      </c>
      <c r="C11" s="33" t="s">
        <v>446</v>
      </c>
      <c r="D11" s="31" t="s">
        <v>62</v>
      </c>
      <c r="E11" s="179">
        <f>IFERROR(MAX(IF('① 기초Data'!D33="H350 Cat1A",5,  IF('① 기초Data'!D33="H350 Cat1B",4,  IF('① 기초Data'!D33="H351",3,    1))),
  IF('① 기초Data'!D60="IARC Group1",5,  IF('① 기초Data'!D60="IARC Group2A",4,  IF('① 기초Data'!D60="IARC Group2B",3,    IF('① 기초Data'!D60="IARC Group3",2,   1))))), "?")</f>
        <v>1</v>
      </c>
      <c r="F11" s="54"/>
      <c r="G11" s="36" t="s">
        <v>447</v>
      </c>
      <c r="H11" s="36" t="s">
        <v>448</v>
      </c>
      <c r="I11" s="32" t="s">
        <v>449</v>
      </c>
      <c r="J11" s="32" t="s">
        <v>450</v>
      </c>
      <c r="K11" s="32" t="s">
        <v>451</v>
      </c>
      <c r="L11" s="32" t="s">
        <v>452</v>
      </c>
      <c r="M11" s="32"/>
      <c r="N11" s="35"/>
      <c r="O11" s="63" t="s">
        <v>453</v>
      </c>
    </row>
    <row r="12" spans="1:16" ht="46.5" customHeight="1">
      <c r="B12" s="30">
        <v>5</v>
      </c>
      <c r="C12" s="33" t="s">
        <v>446</v>
      </c>
      <c r="D12" s="31" t="s">
        <v>454</v>
      </c>
      <c r="E12" s="179">
        <f>IFERROR(  IF('① 기초Data'!D34="H360 Cat1A",5,  IF('① 기초Data'!D34="H360 Cat1B",4,  IF('① 기초Data'!D34="H361",3,    IF('① 기초Data'!D34="H362",2,   1)))), "?")</f>
        <v>1</v>
      </c>
      <c r="F12" s="54"/>
      <c r="G12" s="36" t="s">
        <v>455</v>
      </c>
      <c r="H12" s="36" t="s">
        <v>456</v>
      </c>
      <c r="I12" s="32" t="s">
        <v>457</v>
      </c>
      <c r="J12" s="32" t="s">
        <v>458</v>
      </c>
      <c r="K12" s="32" t="s">
        <v>459</v>
      </c>
      <c r="L12" s="32" t="s">
        <v>460</v>
      </c>
      <c r="M12" s="32"/>
      <c r="N12" s="35"/>
      <c r="O12" s="63" t="s">
        <v>461</v>
      </c>
    </row>
    <row r="13" spans="1:16" ht="46.5" customHeight="1">
      <c r="B13" s="30">
        <v>6</v>
      </c>
      <c r="C13" s="33" t="s">
        <v>446</v>
      </c>
      <c r="D13" s="31" t="s">
        <v>462</v>
      </c>
      <c r="E13" s="179">
        <f>IFERROR(MAX(IF('① 기초Data'!D35="H370",5,  IF('① 기초Data'!D35="H371",4,  IF('① 기초Data'!D35="H372",3,  IF('① 기초Data'!D35="H373",2,    1)))),
  IF('① 기초Data'!D36="334",4,  IF('① 기초Data'!D36="335",3,    IF('① 기초Data'!D36="336",2,   1)))), "?")</f>
        <v>1</v>
      </c>
      <c r="F13" s="54"/>
      <c r="G13" s="36" t="s">
        <v>463</v>
      </c>
      <c r="H13" s="36" t="s">
        <v>464</v>
      </c>
      <c r="I13" s="32" t="s">
        <v>465</v>
      </c>
      <c r="J13" s="32" t="s">
        <v>466</v>
      </c>
      <c r="K13" s="32" t="s">
        <v>467</v>
      </c>
      <c r="L13" s="32" t="s">
        <v>468</v>
      </c>
      <c r="M13" s="32"/>
      <c r="N13" s="35"/>
      <c r="O13" s="63" t="s">
        <v>469</v>
      </c>
    </row>
    <row r="14" spans="1:16" ht="43.5" customHeight="1">
      <c r="B14" s="30">
        <v>7</v>
      </c>
      <c r="C14" s="33" t="s">
        <v>446</v>
      </c>
      <c r="D14" s="31" t="s">
        <v>470</v>
      </c>
      <c r="E14" s="179">
        <f>IFERROR(IF('① 기초Data'!D37="H340 Cat1A",5,  IF('① 기초Data'!D37="H340 Cat1B",4,  IF('① 기초Data'!D37="H341",3,  1))), "?")</f>
        <v>1</v>
      </c>
      <c r="F14" s="54"/>
      <c r="G14" s="36" t="s">
        <v>471</v>
      </c>
      <c r="H14" s="36" t="s">
        <v>456</v>
      </c>
      <c r="I14" s="64" t="s">
        <v>182</v>
      </c>
      <c r="J14" s="32" t="s">
        <v>472</v>
      </c>
      <c r="K14" s="32" t="s">
        <v>473</v>
      </c>
      <c r="L14" s="32" t="s">
        <v>474</v>
      </c>
      <c r="M14" s="32"/>
      <c r="N14" s="35"/>
      <c r="O14" s="63" t="s">
        <v>475</v>
      </c>
    </row>
    <row r="15" spans="1:16" ht="57.75" customHeight="1">
      <c r="B15" s="30">
        <v>8</v>
      </c>
      <c r="C15" s="33" t="s">
        <v>476</v>
      </c>
      <c r="D15" s="31" t="s">
        <v>477</v>
      </c>
      <c r="E15" s="179">
        <f>IFERROR(MAX(IF('① 기초Data'!D42&lt;0.1,5,  IF('① 기초Data'!D42&lt;1,4, IF('① 기초Data'!D42&lt;10,3,  IF('① 기초Data'!D42&lt;100,2,1)))),
    IF('① 기초Data'!D43&lt;0.05,5,  IF('① 기초Data'!D43&lt;0.5,4, IF('① 기초Data'!D43&lt;5,3,  IF('① 기초Data'!D43&lt;50,2,1))))),"?")</f>
        <v>5</v>
      </c>
      <c r="F15" s="54"/>
      <c r="G15" s="36" t="s">
        <v>478</v>
      </c>
      <c r="H15" s="36" t="s">
        <v>479</v>
      </c>
      <c r="I15" s="32" t="s">
        <v>480</v>
      </c>
      <c r="J15" s="32" t="s">
        <v>481</v>
      </c>
      <c r="K15" s="32" t="s">
        <v>482</v>
      </c>
      <c r="L15" s="32" t="s">
        <v>483</v>
      </c>
      <c r="M15" s="32"/>
      <c r="N15" s="35"/>
      <c r="O15" s="63" t="s">
        <v>484</v>
      </c>
    </row>
    <row r="16" spans="1:16" ht="9.9499999999999993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35.1" customHeight="1">
      <c r="B17" s="314" t="s">
        <v>273</v>
      </c>
      <c r="C17" s="320"/>
      <c r="D17" s="320"/>
      <c r="E17" s="321">
        <f>SUM(F8:F15)</f>
        <v>0</v>
      </c>
      <c r="F17" s="322"/>
      <c r="G17" s="323" t="s">
        <v>274</v>
      </c>
      <c r="H17" s="336"/>
      <c r="I17" s="336"/>
      <c r="J17" s="336"/>
      <c r="K17" s="336"/>
      <c r="L17" s="336"/>
      <c r="M17" s="336"/>
      <c r="N17" s="2"/>
    </row>
    <row r="18" spans="1:16" ht="35.1" customHeight="1">
      <c r="B18" s="320" t="s">
        <v>485</v>
      </c>
      <c r="C18" s="320"/>
      <c r="D18" s="320"/>
      <c r="E18" s="324">
        <f>IF(MAX(F8:F15)&gt;=5,2,IF(MAX(F8:F15)&gt;=4,1,0))</f>
        <v>0</v>
      </c>
      <c r="F18" s="324"/>
      <c r="G18" s="323" t="s">
        <v>276</v>
      </c>
      <c r="H18" s="336"/>
      <c r="I18" s="336"/>
      <c r="J18" s="336"/>
      <c r="K18" s="336"/>
      <c r="L18" s="336"/>
      <c r="M18" s="336"/>
      <c r="N18" s="2"/>
    </row>
    <row r="19" spans="1:16" ht="35.1" customHeight="1">
      <c r="B19" s="314" t="s">
        <v>486</v>
      </c>
      <c r="C19" s="314"/>
      <c r="D19" s="308"/>
      <c r="E19" s="317">
        <f>MIN(40,E17+E18)</f>
        <v>0</v>
      </c>
      <c r="F19" s="318"/>
      <c r="G19" s="319" t="s">
        <v>278</v>
      </c>
      <c r="H19" s="336"/>
      <c r="I19" s="336"/>
      <c r="J19" s="336"/>
      <c r="K19" s="336"/>
      <c r="L19" s="336"/>
      <c r="M19" s="336"/>
      <c r="N19" s="2"/>
    </row>
    <row r="20" spans="1:16" ht="35.1" customHeight="1">
      <c r="A20" s="137"/>
      <c r="B20" s="280" t="s">
        <v>487</v>
      </c>
      <c r="C20" s="280"/>
      <c r="D20" s="285"/>
      <c r="E20" s="306">
        <f>IF(E19&lt;8.5,1,IF(E19&lt;16.5,2,IF(E19&lt;24.5,3,IF(E19&lt;33.5,4,5))))</f>
        <v>1</v>
      </c>
      <c r="F20" s="306"/>
      <c r="G20" s="287" t="s">
        <v>280</v>
      </c>
      <c r="H20" s="337"/>
      <c r="I20" s="337"/>
      <c r="J20" s="337"/>
      <c r="K20" s="337"/>
      <c r="L20" s="337"/>
      <c r="M20" s="337"/>
      <c r="N20" s="2"/>
    </row>
    <row r="21" spans="1:16" ht="19.5" customHeight="1">
      <c r="G21" s="138"/>
      <c r="H21" s="138"/>
      <c r="I21" s="138"/>
      <c r="J21" s="138"/>
      <c r="K21" s="138"/>
      <c r="L21" s="138"/>
      <c r="M21" s="138"/>
    </row>
    <row r="22" spans="1:16" ht="19.5" customHeight="1">
      <c r="B22" s="134" t="s">
        <v>281</v>
      </c>
      <c r="G22" s="138"/>
      <c r="H22" s="138"/>
      <c r="I22" s="138"/>
      <c r="J22" s="138"/>
      <c r="K22" s="138"/>
      <c r="L22" s="138"/>
      <c r="M22" s="138"/>
    </row>
    <row r="23" spans="1:16" s="65" customFormat="1" ht="36.75" customHeight="1">
      <c r="A23" s="135"/>
      <c r="B23" s="307" t="s">
        <v>488</v>
      </c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</row>
    <row r="24" spans="1:16" ht="35.1" customHeight="1">
      <c r="B24" s="314" t="s">
        <v>283</v>
      </c>
      <c r="C24" s="314"/>
      <c r="D24" s="39"/>
      <c r="E24" s="310" t="str">
        <f>IFERROR(VLOOKUP(D24,'(수정금지) 기준정보'!C228:F233,4,FALSE),"")</f>
        <v/>
      </c>
      <c r="F24" s="311"/>
      <c r="G24" s="282" t="s">
        <v>284</v>
      </c>
      <c r="H24" s="337"/>
      <c r="I24" s="337"/>
      <c r="J24" s="337"/>
      <c r="K24" s="337"/>
      <c r="L24" s="337"/>
      <c r="M24" s="337"/>
      <c r="N24" s="139"/>
      <c r="O24" s="139"/>
    </row>
    <row r="25" spans="1:16" ht="35.1" customHeight="1">
      <c r="B25" s="314" t="s">
        <v>285</v>
      </c>
      <c r="C25" s="314"/>
      <c r="D25" s="39"/>
      <c r="E25" s="310" t="str">
        <f>IFERROR(VLOOKUP(D25,'(수정금지) 기준정보'!D228:F233,3,FALSE),"")</f>
        <v/>
      </c>
      <c r="F25" s="311"/>
      <c r="G25" s="282" t="s">
        <v>286</v>
      </c>
      <c r="H25" s="337"/>
      <c r="I25" s="337"/>
      <c r="J25" s="337"/>
      <c r="K25" s="337"/>
      <c r="L25" s="337"/>
      <c r="M25" s="337"/>
      <c r="N25" s="139"/>
      <c r="O25" s="139"/>
    </row>
    <row r="26" spans="1:16" ht="35.1" customHeight="1">
      <c r="B26" s="308" t="s">
        <v>287</v>
      </c>
      <c r="C26" s="309"/>
      <c r="D26" s="39"/>
      <c r="E26" s="310" t="str">
        <f>IFERROR(VLOOKUP(D26,'(수정금지) 기준정보'!E228:F233,2,FALSE),"")</f>
        <v/>
      </c>
      <c r="F26" s="311"/>
      <c r="G26" s="312" t="s">
        <v>489</v>
      </c>
      <c r="H26" s="313"/>
      <c r="I26" s="313"/>
      <c r="J26" s="313"/>
      <c r="K26" s="313"/>
      <c r="L26" s="313"/>
      <c r="M26" s="287"/>
      <c r="N26" s="139"/>
      <c r="O26" s="139"/>
    </row>
    <row r="27" spans="1:16" ht="35.1" customHeight="1">
      <c r="B27" s="314" t="s">
        <v>490</v>
      </c>
      <c r="C27" s="314"/>
      <c r="D27" s="314"/>
      <c r="E27" s="315">
        <f>SUM(E24:E26)</f>
        <v>0</v>
      </c>
      <c r="F27" s="316"/>
      <c r="G27" s="282" t="s">
        <v>290</v>
      </c>
      <c r="H27" s="337"/>
      <c r="I27" s="337"/>
      <c r="J27" s="337"/>
      <c r="K27" s="337"/>
      <c r="L27" s="337"/>
      <c r="M27" s="337"/>
      <c r="N27" s="139"/>
      <c r="O27" s="139"/>
    </row>
    <row r="28" spans="1:16" ht="35.1" customHeight="1">
      <c r="B28" s="280" t="s">
        <v>491</v>
      </c>
      <c r="C28" s="280"/>
      <c r="D28" s="285"/>
      <c r="E28" s="306">
        <f>IF(E27&lt;3.5,1,IF(E27&lt;6.5,2,IF(E27&lt;9.5,3,IF(E27&lt;12.5,4,5))))</f>
        <v>1</v>
      </c>
      <c r="F28" s="306"/>
      <c r="G28" s="287" t="s">
        <v>292</v>
      </c>
      <c r="H28" s="337"/>
      <c r="I28" s="337"/>
      <c r="J28" s="337"/>
      <c r="K28" s="337"/>
      <c r="L28" s="337"/>
      <c r="M28" s="337"/>
      <c r="N28" s="139"/>
      <c r="O28" s="139"/>
    </row>
    <row r="29" spans="1:16" ht="12" customHeight="1">
      <c r="A29" s="137"/>
      <c r="B29" s="137"/>
      <c r="C29" s="137"/>
      <c r="D29" s="137"/>
      <c r="E29" s="137"/>
      <c r="F29" s="137"/>
      <c r="G29" s="140"/>
      <c r="H29" s="140"/>
      <c r="I29" s="140"/>
      <c r="J29" s="140"/>
      <c r="K29" s="140"/>
      <c r="L29" s="140"/>
      <c r="M29" s="140"/>
      <c r="N29" s="2"/>
      <c r="P29" s="137"/>
    </row>
    <row r="30" spans="1:16" ht="19.5" customHeight="1">
      <c r="B30" s="134" t="s">
        <v>293</v>
      </c>
      <c r="G30" s="138"/>
      <c r="H30" s="138"/>
      <c r="I30" s="138"/>
      <c r="J30" s="138"/>
      <c r="K30" s="138"/>
      <c r="L30" s="138"/>
      <c r="M30" s="138"/>
      <c r="N30" s="2"/>
    </row>
    <row r="31" spans="1:16" s="65" customFormat="1" ht="24" customHeight="1">
      <c r="A31" s="135"/>
      <c r="B31" s="307" t="s">
        <v>294</v>
      </c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</row>
    <row r="32" spans="1:16" ht="35.1" customHeight="1">
      <c r="A32" s="137"/>
      <c r="B32" s="280" t="s">
        <v>295</v>
      </c>
      <c r="C32" s="280"/>
      <c r="D32" s="280"/>
      <c r="E32" s="281">
        <f>E20*E28</f>
        <v>1</v>
      </c>
      <c r="F32" s="281"/>
      <c r="G32" s="282" t="s">
        <v>296</v>
      </c>
      <c r="H32" s="337"/>
      <c r="I32" s="337"/>
      <c r="J32" s="337"/>
      <c r="K32" s="337"/>
      <c r="L32" s="337"/>
      <c r="M32" s="337"/>
      <c r="P32" s="137"/>
    </row>
    <row r="33" spans="1:16" ht="35.1" customHeight="1">
      <c r="A33" s="137"/>
      <c r="B33" s="280" t="s">
        <v>297</v>
      </c>
      <c r="C33" s="280"/>
      <c r="D33" s="280"/>
      <c r="E33" s="281" t="str">
        <f>IF(E32&lt;3.5,"낮음",IF(E32&lt;8.5,"보통",IF(E32&lt;16.5,"높음","매우 높음")))</f>
        <v>낮음</v>
      </c>
      <c r="F33" s="281"/>
      <c r="G33" s="283" t="str">
        <f>IF(E32&lt;=8,"✅ 허용 가능","🟠 허용 불가 — 저감대책 적용하여 위험도 감소(8이하) 후 도입 가능
     ☞ 하단의 'Ⅳ. 위험성 저감대책 수립' 필수 작성")</f>
        <v>✅ 허용 가능</v>
      </c>
      <c r="H33" s="283"/>
      <c r="I33" s="283"/>
      <c r="J33" s="283"/>
      <c r="K33" s="283"/>
      <c r="L33" s="283"/>
      <c r="M33" s="283"/>
      <c r="P33" s="137"/>
    </row>
    <row r="34" spans="1:16" ht="14.1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P34" s="137"/>
    </row>
    <row r="35" spans="1:16" ht="19.5" customHeight="1">
      <c r="B35" s="134" t="s">
        <v>298</v>
      </c>
    </row>
    <row r="36" spans="1:16" s="65" customFormat="1" ht="65.25" customHeight="1">
      <c r="A36" s="135"/>
      <c r="B36" s="246" t="s">
        <v>299</v>
      </c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</row>
    <row r="37" spans="1:16" s="65" customFormat="1" ht="12" customHeight="1">
      <c r="A37" s="135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1:16" ht="19.5" customHeight="1">
      <c r="B38" s="141" t="s">
        <v>300</v>
      </c>
    </row>
    <row r="39" spans="1:16" ht="70.5" customHeight="1">
      <c r="A39" s="142"/>
      <c r="B39" s="245" t="s">
        <v>301</v>
      </c>
      <c r="C39" s="245"/>
      <c r="D39" s="245"/>
      <c r="E39" s="245"/>
      <c r="F39" s="246"/>
      <c r="G39" s="246"/>
      <c r="H39" s="246"/>
      <c r="I39" s="246"/>
      <c r="J39" s="246"/>
      <c r="K39" s="246"/>
      <c r="L39" s="246"/>
      <c r="M39" s="246"/>
      <c r="N39" s="44"/>
      <c r="O39" s="142"/>
    </row>
    <row r="40" spans="1:16" ht="16.5" customHeight="1">
      <c r="A40" s="142"/>
      <c r="B40" s="300" t="s">
        <v>302</v>
      </c>
      <c r="C40" s="300" t="s">
        <v>303</v>
      </c>
      <c r="D40" s="300" t="s">
        <v>304</v>
      </c>
      <c r="E40" s="303" t="s">
        <v>305</v>
      </c>
      <c r="F40" s="293" t="s">
        <v>306</v>
      </c>
      <c r="G40" s="294"/>
      <c r="H40" s="294"/>
      <c r="I40" s="294"/>
      <c r="J40" s="294"/>
      <c r="K40" s="294"/>
      <c r="L40" s="294"/>
      <c r="M40" s="294"/>
      <c r="N40" s="143"/>
      <c r="O40" s="142"/>
    </row>
    <row r="41" spans="1:16" ht="16.5" customHeight="1">
      <c r="A41" s="142"/>
      <c r="B41" s="301"/>
      <c r="C41" s="301"/>
      <c r="D41" s="301"/>
      <c r="E41" s="304"/>
      <c r="F41" s="293" t="s">
        <v>307</v>
      </c>
      <c r="G41" s="294"/>
      <c r="H41" s="294" t="s">
        <v>308</v>
      </c>
      <c r="I41" s="294"/>
      <c r="J41" s="294" t="s">
        <v>309</v>
      </c>
      <c r="K41" s="294"/>
      <c r="L41" s="294" t="s">
        <v>310</v>
      </c>
      <c r="M41" s="294"/>
      <c r="N41" s="143"/>
      <c r="O41" s="142"/>
    </row>
    <row r="42" spans="1:16" ht="16.5" customHeight="1">
      <c r="A42" s="142"/>
      <c r="B42" s="302"/>
      <c r="C42" s="302"/>
      <c r="D42" s="302"/>
      <c r="E42" s="305"/>
      <c r="F42" s="42" t="s">
        <v>311</v>
      </c>
      <c r="G42" s="43" t="s">
        <v>312</v>
      </c>
      <c r="H42" s="43" t="s">
        <v>311</v>
      </c>
      <c r="I42" s="43" t="s">
        <v>312</v>
      </c>
      <c r="J42" s="43" t="s">
        <v>311</v>
      </c>
      <c r="K42" s="43" t="s">
        <v>312</v>
      </c>
      <c r="L42" s="43" t="s">
        <v>311</v>
      </c>
      <c r="M42" s="43" t="s">
        <v>312</v>
      </c>
      <c r="N42" s="143"/>
      <c r="O42" s="142"/>
    </row>
    <row r="43" spans="1:16" ht="33.950000000000003" customHeight="1">
      <c r="A43" s="142"/>
      <c r="B43" s="47" t="s">
        <v>313</v>
      </c>
      <c r="C43" s="45">
        <f t="shared" ref="C43:C48" si="0">B8</f>
        <v>1</v>
      </c>
      <c r="D43" s="48" t="str">
        <f t="shared" ref="D43:D48" si="1">D8</f>
        <v>흡입 독성 (증기, 분기/미스트)</v>
      </c>
      <c r="E43" s="52">
        <f>F8</f>
        <v>0</v>
      </c>
      <c r="F43" s="144" t="str">
        <f>IF(E43&gt;=4, "OH-E-03", "—")</f>
        <v>—</v>
      </c>
      <c r="G43" s="51" t="str">
        <f>IFERROR(VLOOKUP(F43,'⑥ 저감대책DB'!$B:$H,5,FALSE()),"")</f>
        <v/>
      </c>
      <c r="H43" s="144" t="str">
        <f>IF(E43&gt;=4, "OH-O-01", "—")</f>
        <v>—</v>
      </c>
      <c r="I43" s="51" t="str">
        <f>IFERROR(VLOOKUP(H43,'⑥ 저감대책DB'!$B:$H,5,FALSE()),"")</f>
        <v/>
      </c>
      <c r="J43" s="144" t="str">
        <f>IF(E43&gt;=4, "OH-A-06", "—")</f>
        <v>—</v>
      </c>
      <c r="K43" s="51" t="str">
        <f>IFERROR(VLOOKUP(J43,'⑥ 저감대책DB'!$B:$H,5,FALSE()),"")</f>
        <v/>
      </c>
      <c r="L43" s="144" t="str">
        <f>IF(E43&gt;=4, "OH-P-01", "—")</f>
        <v>—</v>
      </c>
      <c r="M43" s="51" t="str">
        <f>IFERROR(VLOOKUP(L43,'⑥ 저감대책DB'!$B:$H,5,FALSE()),"")</f>
        <v/>
      </c>
      <c r="N43" s="143"/>
      <c r="O43" s="142"/>
    </row>
    <row r="44" spans="1:16" ht="33.950000000000003" customHeight="1">
      <c r="A44" s="142"/>
      <c r="B44" s="47" t="s">
        <v>313</v>
      </c>
      <c r="C44" s="45">
        <f t="shared" si="0"/>
        <v>2</v>
      </c>
      <c r="D44" s="48" t="str">
        <f t="shared" si="1"/>
        <v xml:space="preserve">경구·경피 독성 </v>
      </c>
      <c r="E44" s="52">
        <f>F9</f>
        <v>0</v>
      </c>
      <c r="F44" s="144" t="str">
        <f>IF(E44&gt;=4, "OH-E-05", "—")</f>
        <v>—</v>
      </c>
      <c r="G44" s="51" t="str">
        <f>IFERROR(VLOOKUP(F44,'⑥ 저감대책DB'!$B:$H,5,FALSE()),"")</f>
        <v/>
      </c>
      <c r="H44" s="144" t="str">
        <f>IF(E44&gt;=4, "OH-O-04", "—")</f>
        <v>—</v>
      </c>
      <c r="I44" s="51" t="str">
        <f>IFERROR(VLOOKUP(H44,'⑥ 저감대책DB'!$B:$H,5,FALSE()),"")</f>
        <v/>
      </c>
      <c r="J44" s="144" t="str">
        <f>IF(E44&gt;=4, "OH-A-02", "—")</f>
        <v>—</v>
      </c>
      <c r="K44" s="51" t="str">
        <f>IFERROR(VLOOKUP(J44,'⑥ 저감대책DB'!$B:$H,5,FALSE()),"")</f>
        <v/>
      </c>
      <c r="L44" s="144" t="str">
        <f>IF(E44&gt;=4, "OH-P-02", "—")</f>
        <v>—</v>
      </c>
      <c r="M44" s="51" t="str">
        <f>IFERROR(VLOOKUP(L44,'⑥ 저감대책DB'!$B:$H,5,FALSE()),"")</f>
        <v/>
      </c>
      <c r="N44" s="143"/>
      <c r="O44" s="142"/>
    </row>
    <row r="45" spans="1:16" ht="33.950000000000003" customHeight="1">
      <c r="B45" s="47" t="s">
        <v>313</v>
      </c>
      <c r="C45" s="45">
        <f t="shared" si="0"/>
        <v>3</v>
      </c>
      <c r="D45" s="48" t="str">
        <f t="shared" si="1"/>
        <v>피부·눈 자극성 및 부식성</v>
      </c>
      <c r="E45" s="52">
        <f>F10</f>
        <v>0</v>
      </c>
      <c r="F45" s="145" t="str">
        <f>IF(E45&gt;=4, "OH-E-07", "—")</f>
        <v>—</v>
      </c>
      <c r="G45" s="51" t="str">
        <f>IFERROR(VLOOKUP(F45,'⑥ 저감대책DB'!$B:$H,5,FALSE()),"")</f>
        <v/>
      </c>
      <c r="H45" s="145" t="str">
        <f>IF(E45&gt;=4, "OH-O-06", "—")</f>
        <v>—</v>
      </c>
      <c r="I45" s="51" t="str">
        <f>IFERROR(VLOOKUP(H45,'⑥ 저감대책DB'!$B:$H,5,FALSE()),"")</f>
        <v/>
      </c>
      <c r="J45" s="145" t="str">
        <f>IF(E45&gt;=4, "OH-A-05", "—")</f>
        <v>—</v>
      </c>
      <c r="K45" s="51" t="str">
        <f>IFERROR(VLOOKUP(J45,'⑥ 저감대책DB'!$B:$H,5,FALSE()),"")</f>
        <v/>
      </c>
      <c r="L45" s="145" t="str">
        <f>IF(E45&gt;=4, "OH-P-02", "—")</f>
        <v>—</v>
      </c>
      <c r="M45" s="51" t="str">
        <f>IFERROR(VLOOKUP(L45,'⑥ 저감대책DB'!$B:$H,5,FALSE()),"")</f>
        <v/>
      </c>
      <c r="N45" s="143"/>
    </row>
    <row r="46" spans="1:16" ht="33.950000000000003" customHeight="1">
      <c r="B46" s="47" t="s">
        <v>313</v>
      </c>
      <c r="C46" s="45">
        <f t="shared" si="0"/>
        <v>4</v>
      </c>
      <c r="D46" s="48" t="str">
        <f t="shared" si="1"/>
        <v>발암성</v>
      </c>
      <c r="E46" s="52">
        <f t="shared" ref="E46:E49" si="2">F11</f>
        <v>0</v>
      </c>
      <c r="F46" s="145" t="str">
        <f>IF(E46&gt;=4, "OH-E-09", "—")</f>
        <v>—</v>
      </c>
      <c r="G46" s="51" t="str">
        <f>IFERROR(VLOOKUP(F46,'⑥ 저감대책DB'!$B:$H,5,FALSE()),"")</f>
        <v/>
      </c>
      <c r="H46" s="145" t="str">
        <f>IF(E46&gt;=4, "OH-O-03", "—")</f>
        <v>—</v>
      </c>
      <c r="I46" s="51" t="str">
        <f>IFERROR(VLOOKUP(H46,'⑥ 저감대책DB'!$B:$H,5,FALSE()),"")</f>
        <v/>
      </c>
      <c r="J46" s="145" t="str">
        <f>IF(E46&gt;=4, "OH-A-03", "—")</f>
        <v>—</v>
      </c>
      <c r="K46" s="51" t="str">
        <f>IFERROR(VLOOKUP(J46,'⑥ 저감대책DB'!$B:$H,5,FALSE()),"")</f>
        <v/>
      </c>
      <c r="L46" s="145" t="str">
        <f>IF(E46&gt;=4, "OH-P-01", "—")</f>
        <v>—</v>
      </c>
      <c r="M46" s="51" t="str">
        <f>IFERROR(VLOOKUP(L46,'⑥ 저감대책DB'!$B:$H,5,FALSE()),"")</f>
        <v/>
      </c>
      <c r="N46" s="143"/>
    </row>
    <row r="47" spans="1:16" ht="33.950000000000003" customHeight="1">
      <c r="B47" s="47" t="s">
        <v>313</v>
      </c>
      <c r="C47" s="45">
        <f t="shared" si="0"/>
        <v>5</v>
      </c>
      <c r="D47" s="48" t="str">
        <f t="shared" si="1"/>
        <v>생식·발달독성</v>
      </c>
      <c r="E47" s="52">
        <f t="shared" si="2"/>
        <v>0</v>
      </c>
      <c r="F47" s="145" t="str">
        <f>IF(E47&gt;=4, "OH-E-04", "—")</f>
        <v>—</v>
      </c>
      <c r="G47" s="51" t="str">
        <f>IFERROR(VLOOKUP(F47,'⑥ 저감대책DB'!$B:$H,5,FALSE()),"")</f>
        <v/>
      </c>
      <c r="H47" s="145" t="str">
        <f>IF(E47&gt;=4, "OH-O-07", "—")</f>
        <v>—</v>
      </c>
      <c r="I47" s="51" t="str">
        <f>IFERROR(VLOOKUP(H47,'⑥ 저감대책DB'!$B:$H,5,FALSE()),"")</f>
        <v/>
      </c>
      <c r="J47" s="145" t="str">
        <f>IF(E47&gt;=4, "OH-A-01", "—")</f>
        <v>—</v>
      </c>
      <c r="K47" s="51" t="str">
        <f>IFERROR(VLOOKUP(J47,'⑥ 저감대책DB'!$B:$H,5,FALSE()),"")</f>
        <v/>
      </c>
      <c r="L47" s="145" t="str">
        <f>IF(E47&gt;=4, "OH-P-02", "—")</f>
        <v>—</v>
      </c>
      <c r="M47" s="51" t="str">
        <f>IFERROR(VLOOKUP(L47,'⑥ 저감대책DB'!$B:$H,5,FALSE()),"")</f>
        <v/>
      </c>
      <c r="N47" s="143"/>
    </row>
    <row r="48" spans="1:16" ht="33.950000000000003" customHeight="1">
      <c r="B48" s="47" t="s">
        <v>313</v>
      </c>
      <c r="C48" s="45">
        <f t="shared" si="0"/>
        <v>6</v>
      </c>
      <c r="D48" s="48" t="str">
        <f t="shared" si="1"/>
        <v>특정 장기 반복독성 및 호흡기 과민성</v>
      </c>
      <c r="E48" s="52">
        <f t="shared" si="2"/>
        <v>0</v>
      </c>
      <c r="F48" s="145" t="str">
        <f>IF(E48&gt;=4, "OH-E-02", "—")</f>
        <v>—</v>
      </c>
      <c r="G48" s="51" t="str">
        <f>IFERROR(VLOOKUP(F48,'⑥ 저감대책DB'!$B:$H,5,FALSE()),"")</f>
        <v/>
      </c>
      <c r="H48" s="145" t="str">
        <f>IF(E48&gt;=4, "OH-O-01", "—")</f>
        <v>—</v>
      </c>
      <c r="I48" s="51" t="str">
        <f>IFERROR(VLOOKUP(H48,'⑥ 저감대책DB'!$B:$H,5,FALSE()),"")</f>
        <v/>
      </c>
      <c r="J48" s="145" t="str">
        <f>IF(E48&gt;=4, "OH-A-01", "—")</f>
        <v>—</v>
      </c>
      <c r="K48" s="51" t="str">
        <f>IFERROR(VLOOKUP(J48,'⑥ 저감대책DB'!$B:$H,5,FALSE()),"")</f>
        <v/>
      </c>
      <c r="L48" s="145" t="str">
        <f>IF(E48&gt;=4, "OH-P-01", "—")</f>
        <v>—</v>
      </c>
      <c r="M48" s="51" t="str">
        <f>IFERROR(VLOOKUP(L48,'⑥ 저감대책DB'!$B:$H,5,FALSE()),"")</f>
        <v/>
      </c>
      <c r="N48" s="143"/>
    </row>
    <row r="49" spans="1:20" ht="33.950000000000003" customHeight="1">
      <c r="B49" s="47" t="s">
        <v>313</v>
      </c>
      <c r="C49" s="45">
        <f t="shared" ref="C49:C50" si="3">B14</f>
        <v>7</v>
      </c>
      <c r="D49" s="48" t="str">
        <f t="shared" ref="D49:D50" si="4">D14</f>
        <v>생식세포 변이원성</v>
      </c>
      <c r="E49" s="52">
        <f t="shared" si="2"/>
        <v>0</v>
      </c>
      <c r="F49" s="145" t="str">
        <f>IF(E49&gt;=4, "OH-E-02", "—")</f>
        <v>—</v>
      </c>
      <c r="G49" s="51" t="str">
        <f>IFERROR(VLOOKUP(F49,'⑥ 저감대책DB'!$B:$H,5,FALSE()),"")</f>
        <v/>
      </c>
      <c r="H49" s="145" t="str">
        <f>IF(E49&gt;=4, "OH-O-01", "—")</f>
        <v>—</v>
      </c>
      <c r="I49" s="51" t="str">
        <f>IFERROR(VLOOKUP(H49,'⑥ 저감대책DB'!$B:$H,5,FALSE()),"")</f>
        <v/>
      </c>
      <c r="J49" s="145" t="str">
        <f>IF(E49&gt;=4, "OH-A-03", "—")</f>
        <v>—</v>
      </c>
      <c r="K49" s="51" t="str">
        <f>IFERROR(VLOOKUP(J49,'⑥ 저감대책DB'!$B:$H,5,FALSE()),"")</f>
        <v/>
      </c>
      <c r="L49" s="145" t="str">
        <f>IF(E49&gt;=4, "OH-P-01", "—")</f>
        <v>—</v>
      </c>
      <c r="M49" s="51" t="str">
        <f>IFERROR(VLOOKUP(L49,'⑥ 저감대책DB'!$B:$H,5,FALSE()),"")</f>
        <v/>
      </c>
      <c r="N49" s="143"/>
    </row>
    <row r="50" spans="1:20" ht="33.950000000000003" customHeight="1">
      <c r="B50" s="47" t="s">
        <v>313</v>
      </c>
      <c r="C50" s="45">
        <f t="shared" si="3"/>
        <v>8</v>
      </c>
      <c r="D50" s="48" t="str">
        <f t="shared" si="4"/>
        <v>작업환경 노출기준</v>
      </c>
      <c r="E50" s="52">
        <f t="shared" ref="E50" si="5">F15</f>
        <v>0</v>
      </c>
      <c r="F50" s="145" t="str">
        <f>IF(E50&gt;=4, "OH-E-04", "—")</f>
        <v>—</v>
      </c>
      <c r="G50" s="51" t="str">
        <f>IFERROR(VLOOKUP(F50,'⑥ 저감대책DB'!$B:$H,5,FALSE()),"")</f>
        <v/>
      </c>
      <c r="H50" s="145" t="str">
        <f>IF(E50&gt;=4, "OH-O-03", "—")</f>
        <v>—</v>
      </c>
      <c r="I50" s="51" t="str">
        <f>IFERROR(VLOOKUP(H50,'⑥ 저감대책DB'!$B:$H,5,FALSE()),"")</f>
        <v/>
      </c>
      <c r="J50" s="145" t="str">
        <f>IF(E50&gt;=4, "OH-A-04", "—")</f>
        <v>—</v>
      </c>
      <c r="K50" s="51" t="str">
        <f>IFERROR(VLOOKUP(J50,'⑥ 저감대책DB'!$B:$H,5,FALSE()),"")</f>
        <v/>
      </c>
      <c r="L50" s="145" t="str">
        <f>IF(E50&gt;=4, "OH-P-02", "—")</f>
        <v>—</v>
      </c>
      <c r="M50" s="51" t="str">
        <f>IFERROR(VLOOKUP(L50,'⑥ 저감대책DB'!$B:$H,5,FALSE()),"")</f>
        <v/>
      </c>
      <c r="N50" s="143"/>
    </row>
    <row r="51" spans="1:20" ht="33.950000000000003" customHeight="1">
      <c r="B51" s="49" t="s">
        <v>314</v>
      </c>
      <c r="C51" s="46">
        <v>1</v>
      </c>
      <c r="D51" s="50" t="str">
        <f>B24</f>
        <v xml:space="preserve">  ① 취급 횟수</v>
      </c>
      <c r="E51" s="53" t="str">
        <f>E24</f>
        <v/>
      </c>
      <c r="F51" s="145" t="str">
        <f>IF(E51&gt;=4, "—", "—")</f>
        <v>—</v>
      </c>
      <c r="G51" s="51" t="str">
        <f>IFERROR(VLOOKUP(F51,'⑥ 저감대책DB'!$B:$H,5,FALSE()),"")</f>
        <v/>
      </c>
      <c r="H51" s="145" t="str">
        <f>IF(E51&gt;=4, "OH-O-03", "—")</f>
        <v>OH-O-03</v>
      </c>
      <c r="I51" s="51" t="str">
        <f>IFERROR(VLOOKUP(H51,'⑥ 저감대책DB'!$B:$H,5,FALSE()),"")</f>
        <v>노출시간 제한·작업 순환(Job rotation)</v>
      </c>
      <c r="J51" s="145" t="str">
        <f>IF(E51&gt;=4, "OH-A-03", "—")</f>
        <v>OH-A-03</v>
      </c>
      <c r="K51" s="51" t="str">
        <f>IFERROR(VLOOKUP(J51,'⑥ 저감대책DB'!$B:$H,5,FALSE()),"")</f>
        <v>작업허가서(Permit-to-work)</v>
      </c>
      <c r="L51" s="145" t="str">
        <f>IF(E51&gt;=4, "—", "—")</f>
        <v>—</v>
      </c>
      <c r="M51" s="51" t="str">
        <f>IFERROR(VLOOKUP(L51,'⑥ 저감대책DB'!$B:$H,5,FALSE()),"")</f>
        <v/>
      </c>
      <c r="N51" s="143"/>
    </row>
    <row r="52" spans="1:20" ht="33.950000000000003" customHeight="1">
      <c r="B52" s="49" t="s">
        <v>314</v>
      </c>
      <c r="C52" s="46">
        <f>2</f>
        <v>2</v>
      </c>
      <c r="D52" s="50" t="str">
        <f t="shared" ref="D52:D53" si="6">B25</f>
        <v xml:space="preserve">  ② 1회 취급량</v>
      </c>
      <c r="E52" s="53" t="str">
        <f t="shared" ref="E52:E53" si="7">E25</f>
        <v/>
      </c>
      <c r="F52" s="145" t="str">
        <f>IF(E52&gt;=4, "—", "—")</f>
        <v>—</v>
      </c>
      <c r="G52" s="51" t="str">
        <f>IFERROR(VLOOKUP(F52,'⑥ 저감대책DB'!$B:$H,5,FALSE()),"")</f>
        <v/>
      </c>
      <c r="H52" s="145" t="str">
        <f>IF(E52&gt;=4, "OH-O-02", "—")</f>
        <v>OH-O-02</v>
      </c>
      <c r="I52" s="51" t="str">
        <f>IFERROR(VLOOKUP(H52,'⑥ 저감대책DB'!$B:$H,5,FALSE()),"")</f>
        <v>1회 취급량 소분 (소량 다회 분할)</v>
      </c>
      <c r="J52" s="145" t="str">
        <f>IF(E52&gt;=4, "—", "—")</f>
        <v>—</v>
      </c>
      <c r="K52" s="51" t="str">
        <f>IFERROR(VLOOKUP(J52,'⑥ 저감대책DB'!$B:$H,5,FALSE()),"")</f>
        <v/>
      </c>
      <c r="L52" s="145" t="str">
        <f>IF(E52&gt;=4, "—", "—")</f>
        <v>—</v>
      </c>
      <c r="M52" s="51" t="str">
        <f>IFERROR(VLOOKUP(L52,'⑥ 저감대책DB'!$B:$H,5,FALSE()),"")</f>
        <v/>
      </c>
      <c r="N52" s="143"/>
    </row>
    <row r="53" spans="1:20" ht="33.950000000000003" customHeight="1">
      <c r="B53" s="49" t="s">
        <v>314</v>
      </c>
      <c r="C53" s="46">
        <f>3</f>
        <v>3</v>
      </c>
      <c r="D53" s="50" t="str">
        <f t="shared" si="6"/>
        <v xml:space="preserve">  ③ 취급 공정 환경</v>
      </c>
      <c r="E53" s="53" t="str">
        <f t="shared" si="7"/>
        <v/>
      </c>
      <c r="F53" s="145" t="str">
        <f>IF(E53&gt;=4, "OH-E-12", "—")</f>
        <v>OH-E-12</v>
      </c>
      <c r="G53" s="51" t="str">
        <f>IFERROR(VLOOKUP(F53,'⑥ 저감대책DB'!$B:$H,5,FALSE()),"")</f>
        <v>실외 또는 환기 잘 되는 장소 작업 배치</v>
      </c>
      <c r="H53" s="145" t="str">
        <f>IF(E53&gt;=4, "—", "—")</f>
        <v>—</v>
      </c>
      <c r="I53" s="51" t="str">
        <f>IFERROR(VLOOKUP(H53,'⑥ 저감대책DB'!$B:$H,5,FALSE()),"")</f>
        <v/>
      </c>
      <c r="J53" s="145" t="str">
        <f>IF(E53&gt;=4, "—", "—")</f>
        <v>—</v>
      </c>
      <c r="K53" s="51" t="str">
        <f>IFERROR(VLOOKUP(J53,'⑥ 저감대책DB'!$B:$H,5,FALSE()),"")</f>
        <v/>
      </c>
      <c r="L53" s="145" t="str">
        <f>IF(E53&gt;=4, "—", "—")</f>
        <v>—</v>
      </c>
      <c r="M53" s="51" t="str">
        <f>IFERROR(VLOOKUP(L53,'⑥ 저감대책DB'!$B:$H,5,FALSE()),"")</f>
        <v/>
      </c>
      <c r="N53" s="143"/>
    </row>
    <row r="54" spans="1:20" ht="12" customHeight="1">
      <c r="B54" s="146"/>
      <c r="C54" s="146"/>
      <c r="D54" s="147"/>
      <c r="E54" s="148"/>
      <c r="F54" s="146"/>
      <c r="G54" s="146"/>
      <c r="H54" s="146"/>
      <c r="I54" s="146"/>
      <c r="J54" s="143"/>
      <c r="K54" s="143"/>
      <c r="L54" s="143"/>
      <c r="M54" s="143"/>
      <c r="N54" s="143"/>
    </row>
    <row r="55" spans="1:20" ht="19.5" customHeight="1">
      <c r="B55" s="141" t="s">
        <v>315</v>
      </c>
    </row>
    <row r="56" spans="1:20" s="65" customFormat="1" ht="81" customHeight="1">
      <c r="A56" s="135"/>
      <c r="B56" s="245" t="s">
        <v>316</v>
      </c>
      <c r="C56" s="245"/>
      <c r="D56" s="245"/>
      <c r="E56" s="246"/>
      <c r="F56" s="246"/>
      <c r="G56" s="246"/>
      <c r="H56" s="246"/>
      <c r="I56" s="246"/>
      <c r="J56" s="246"/>
      <c r="K56" s="246"/>
      <c r="L56" s="246"/>
      <c r="M56" s="246"/>
    </row>
    <row r="57" spans="1:20" ht="21.75" customHeight="1">
      <c r="A57" s="142"/>
      <c r="B57" s="295" t="s">
        <v>317</v>
      </c>
      <c r="C57" s="296"/>
      <c r="D57" s="296"/>
      <c r="E57" s="299" t="s">
        <v>318</v>
      </c>
      <c r="F57" s="299"/>
      <c r="G57" s="299" t="s">
        <v>319</v>
      </c>
      <c r="H57" s="299"/>
      <c r="I57" s="299" t="s">
        <v>320</v>
      </c>
      <c r="J57" s="299"/>
      <c r="K57" s="55"/>
      <c r="L57" s="55"/>
      <c r="M57" s="55"/>
      <c r="O57" s="142"/>
    </row>
    <row r="58" spans="1:20" ht="21.75" customHeight="1">
      <c r="A58" s="142"/>
      <c r="B58" s="297"/>
      <c r="C58" s="298"/>
      <c r="D58" s="298"/>
      <c r="E58" s="43" t="s">
        <v>311</v>
      </c>
      <c r="F58" s="43" t="s">
        <v>312</v>
      </c>
      <c r="G58" s="43" t="s">
        <v>311</v>
      </c>
      <c r="H58" s="43" t="s">
        <v>312</v>
      </c>
      <c r="I58" s="43" t="s">
        <v>311</v>
      </c>
      <c r="J58" s="43" t="s">
        <v>312</v>
      </c>
      <c r="K58" s="55"/>
      <c r="L58" s="55"/>
      <c r="M58" s="55"/>
      <c r="O58" s="142"/>
    </row>
    <row r="59" spans="1:20" ht="35.1" customHeight="1">
      <c r="A59" s="142"/>
      <c r="B59" s="288" t="s">
        <v>321</v>
      </c>
      <c r="C59" s="288"/>
      <c r="D59" s="289"/>
      <c r="E59" s="40"/>
      <c r="F59" s="58" t="str">
        <f>IFERROR(VLOOKUP(E59,'⑥ 저감대책DB'!$B:$H,5,FALSE()),"")</f>
        <v/>
      </c>
      <c r="G59" s="40"/>
      <c r="H59" s="58" t="str">
        <f>IFERROR(VLOOKUP(G59,'⑥ 저감대책DB'!$B:$H,5,FALSE()),"")</f>
        <v/>
      </c>
      <c r="I59" s="40"/>
      <c r="J59" s="58" t="str">
        <f>IFERROR(VLOOKUP(I59,'⑥ 저감대책DB'!$B:$H,5,FALSE()),"")</f>
        <v/>
      </c>
      <c r="K59" s="56"/>
      <c r="L59" s="56"/>
      <c r="M59" s="56"/>
      <c r="O59" s="142"/>
      <c r="P59" s="149">
        <f>IFERROR(VLOOKUP(E59,'⑥ 저감대책DB'!$B:$E,4,FALSE()),0)</f>
        <v>0</v>
      </c>
      <c r="Q59" s="149">
        <f>IFERROR(VLOOKUP(G59,'⑥ 저감대책DB'!$B:$E,4,FALSE()),0)</f>
        <v>0</v>
      </c>
      <c r="R59" s="149">
        <f>IFERROR(VLOOKUP(I59,'⑥ 저감대책DB'!$B:$E,4,FALSE()),0)</f>
        <v>0</v>
      </c>
      <c r="S59" s="149">
        <f>MIN(P59:R59)*1 + MEDIAN(P59:R59)*0.75 + MAX(P59:R59)*0.5</f>
        <v>0</v>
      </c>
      <c r="T59" s="150">
        <f>S59*1 + S60*0.75 + S61*0.5 + S62*0.5</f>
        <v>0</v>
      </c>
    </row>
    <row r="60" spans="1:20" ht="35.1" customHeight="1">
      <c r="A60" s="142"/>
      <c r="B60" s="288" t="s">
        <v>322</v>
      </c>
      <c r="C60" s="288"/>
      <c r="D60" s="289"/>
      <c r="E60" s="40"/>
      <c r="F60" s="58" t="str">
        <f>IFERROR(VLOOKUP(E60,'⑥ 저감대책DB'!$B:$H,5,FALSE()),"")</f>
        <v/>
      </c>
      <c r="G60" s="40"/>
      <c r="H60" s="58" t="str">
        <f>IFERROR(VLOOKUP(G60,'⑥ 저감대책DB'!$B:$H,5,FALSE()),"")</f>
        <v/>
      </c>
      <c r="I60" s="40"/>
      <c r="J60" s="58" t="str">
        <f>IFERROR(VLOOKUP(I60,'⑥ 저감대책DB'!$B:$H,5,FALSE()),"")</f>
        <v/>
      </c>
      <c r="K60" s="56"/>
      <c r="L60" s="56"/>
      <c r="M60" s="56"/>
      <c r="O60" s="142"/>
      <c r="P60" s="149">
        <f>IFERROR(VLOOKUP(E60,'⑥ 저감대책DB'!$B:$E,4,FALSE()),0)</f>
        <v>0</v>
      </c>
      <c r="Q60" s="149">
        <f>IFERROR(VLOOKUP(G60,'⑥ 저감대책DB'!$B:$E,4,FALSE()),0)</f>
        <v>0</v>
      </c>
      <c r="R60" s="149">
        <f>IFERROR(VLOOKUP(I60,'⑥ 저감대책DB'!$B:$E,4,FALSE()),0)</f>
        <v>0</v>
      </c>
      <c r="S60" s="149">
        <f t="shared" ref="S60:S62" si="8">MIN(P60:R60)*1 + MEDIAN(P60:R60)*0.75 + MAX(P60:R60)*0.5</f>
        <v>0</v>
      </c>
      <c r="T60" s="150">
        <f>MAX(T59, -E27*0.6)</f>
        <v>0</v>
      </c>
    </row>
    <row r="61" spans="1:20" ht="35.1" customHeight="1">
      <c r="A61" s="142"/>
      <c r="B61" s="288" t="s">
        <v>323</v>
      </c>
      <c r="C61" s="288"/>
      <c r="D61" s="289"/>
      <c r="E61" s="40"/>
      <c r="F61" s="58" t="str">
        <f>IFERROR(VLOOKUP(E61,'⑥ 저감대책DB'!$B:$H,5,FALSE()),"")</f>
        <v/>
      </c>
      <c r="G61" s="40"/>
      <c r="H61" s="58" t="str">
        <f>IFERROR(VLOOKUP(G61,'⑥ 저감대책DB'!$B:$H,5,FALSE()),"")</f>
        <v/>
      </c>
      <c r="I61" s="40"/>
      <c r="J61" s="58" t="str">
        <f>IFERROR(VLOOKUP(I61,'⑥ 저감대책DB'!$B:$H,5,FALSE()),"")</f>
        <v/>
      </c>
      <c r="K61" s="56"/>
      <c r="L61" s="56"/>
      <c r="M61" s="56"/>
      <c r="O61" s="142"/>
      <c r="P61" s="149">
        <f>IFERROR(VLOOKUP(E61,'⑥ 저감대책DB'!$B:$E,4,FALSE()),0)</f>
        <v>0</v>
      </c>
      <c r="Q61" s="149">
        <f>IFERROR(VLOOKUP(G61,'⑥ 저감대책DB'!$B:$E,4,FALSE()),0)</f>
        <v>0</v>
      </c>
      <c r="R61" s="149">
        <f>IFERROR(VLOOKUP(I61,'⑥ 저감대책DB'!$B:$E,4,FALSE()),0)</f>
        <v>0</v>
      </c>
      <c r="S61" s="149">
        <f t="shared" si="8"/>
        <v>0</v>
      </c>
      <c r="T61" s="151">
        <f>MAX(3, E27 + T60)</f>
        <v>3</v>
      </c>
    </row>
    <row r="62" spans="1:20" ht="35.1" customHeight="1">
      <c r="A62" s="142"/>
      <c r="B62" s="288" t="s">
        <v>324</v>
      </c>
      <c r="C62" s="288"/>
      <c r="D62" s="289"/>
      <c r="E62" s="40"/>
      <c r="F62" s="58" t="str">
        <f>IFERROR(VLOOKUP(E62,'⑥ 저감대책DB'!$B:$H,5,FALSE()),"")</f>
        <v/>
      </c>
      <c r="G62" s="40"/>
      <c r="H62" s="58" t="str">
        <f>IFERROR(VLOOKUP(G62,'⑥ 저감대책DB'!$B:$H,5,FALSE()),"")</f>
        <v/>
      </c>
      <c r="I62" s="40"/>
      <c r="J62" s="58" t="str">
        <f>IFERROR(VLOOKUP(I62,'⑥ 저감대책DB'!$B:$H,5,FALSE()),"")</f>
        <v/>
      </c>
      <c r="K62" s="56"/>
      <c r="L62" s="56"/>
      <c r="M62" s="56"/>
      <c r="O62" s="142"/>
      <c r="P62" s="149">
        <f>IFERROR(VLOOKUP(E62,'⑥ 저감대책DB'!$B:$E,4,FALSE()),0)</f>
        <v>0</v>
      </c>
      <c r="Q62" s="149">
        <f>IFERROR(VLOOKUP(G62,'⑥ 저감대책DB'!$B:$E,4,FALSE()),0)</f>
        <v>0</v>
      </c>
      <c r="R62" s="149">
        <f>IFERROR(VLOOKUP(I62,'⑥ 저감대책DB'!$B:$E,4,FALSE()),0)</f>
        <v>0</v>
      </c>
      <c r="S62" s="149">
        <f t="shared" si="8"/>
        <v>0</v>
      </c>
      <c r="T62" s="149"/>
    </row>
    <row r="63" spans="1:20" ht="68.25" customHeight="1">
      <c r="A63" s="142"/>
      <c r="B63" s="290" t="s">
        <v>325</v>
      </c>
      <c r="C63" s="290"/>
      <c r="D63" s="291"/>
      <c r="E63" s="292" t="s">
        <v>326</v>
      </c>
      <c r="F63" s="292"/>
      <c r="G63" s="292"/>
      <c r="H63" s="292"/>
      <c r="I63" s="292"/>
      <c r="J63" s="292"/>
      <c r="K63" s="57"/>
      <c r="L63" s="57"/>
      <c r="M63" s="57"/>
      <c r="O63" s="142"/>
    </row>
    <row r="64" spans="1:20" ht="12" customHeight="1">
      <c r="B64" s="146"/>
      <c r="C64" s="146"/>
      <c r="D64" s="147"/>
      <c r="E64" s="148"/>
      <c r="F64" s="146"/>
      <c r="G64" s="146"/>
      <c r="H64" s="146"/>
      <c r="I64" s="146"/>
      <c r="J64" s="143"/>
      <c r="K64" s="143"/>
      <c r="L64" s="143"/>
      <c r="M64" s="143"/>
      <c r="N64" s="143"/>
    </row>
    <row r="65" spans="1:16" ht="19.5" customHeight="1">
      <c r="B65" s="141" t="s">
        <v>327</v>
      </c>
    </row>
    <row r="66" spans="1:16" ht="39.75" customHeight="1">
      <c r="A66" s="142"/>
      <c r="B66" s="280" t="s">
        <v>492</v>
      </c>
      <c r="C66" s="280"/>
      <c r="D66" s="280"/>
      <c r="E66" s="284">
        <f>T61</f>
        <v>3</v>
      </c>
      <c r="F66" s="284"/>
      <c r="G66" s="282" t="s">
        <v>329</v>
      </c>
      <c r="H66" s="337"/>
      <c r="I66" s="337"/>
      <c r="J66" s="337"/>
      <c r="K66" s="337"/>
      <c r="L66" s="337"/>
      <c r="M66" s="337"/>
      <c r="O66" s="142"/>
    </row>
    <row r="67" spans="1:16" ht="36.950000000000003" customHeight="1">
      <c r="B67" s="280" t="s">
        <v>493</v>
      </c>
      <c r="C67" s="280"/>
      <c r="D67" s="285"/>
      <c r="E67" s="286">
        <f>IF(E66&lt;3.5,1,IF(E66&lt;6.5,2,IF(E66&lt;9.5,3,IF(E66&lt;12.5,4,5))))</f>
        <v>1</v>
      </c>
      <c r="F67" s="286"/>
      <c r="G67" s="287" t="s">
        <v>292</v>
      </c>
      <c r="H67" s="337"/>
      <c r="I67" s="337"/>
      <c r="J67" s="337"/>
      <c r="K67" s="337"/>
      <c r="L67" s="337"/>
      <c r="M67" s="337"/>
      <c r="N67" s="139"/>
      <c r="O67" s="139"/>
    </row>
    <row r="68" spans="1:16" ht="6.75" customHeight="1">
      <c r="G68" s="152"/>
      <c r="H68" s="152"/>
      <c r="I68" s="152"/>
      <c r="J68" s="152"/>
      <c r="K68" s="152"/>
      <c r="L68" s="152"/>
      <c r="M68" s="152"/>
    </row>
    <row r="69" spans="1:16" ht="36.950000000000003" customHeight="1">
      <c r="A69" s="137"/>
      <c r="B69" s="280" t="s">
        <v>331</v>
      </c>
      <c r="C69" s="280"/>
      <c r="D69" s="280"/>
      <c r="E69" s="281">
        <f>E20*E67</f>
        <v>1</v>
      </c>
      <c r="F69" s="281"/>
      <c r="G69" s="282" t="s">
        <v>296</v>
      </c>
      <c r="H69" s="337"/>
      <c r="I69" s="337"/>
      <c r="J69" s="337"/>
      <c r="K69" s="337"/>
      <c r="L69" s="337"/>
      <c r="M69" s="337"/>
      <c r="P69" s="137"/>
    </row>
    <row r="70" spans="1:16" ht="36.950000000000003" customHeight="1">
      <c r="A70" s="137"/>
      <c r="B70" s="280" t="s">
        <v>297</v>
      </c>
      <c r="C70" s="280"/>
      <c r="D70" s="280"/>
      <c r="E70" s="281" t="str">
        <f>IF(E69&lt;3.5,"저",IF(E69&lt;8.5,"중",IF(E69&lt;16.5,"고","허용 불가")))</f>
        <v>저</v>
      </c>
      <c r="F70" s="281"/>
      <c r="G70" s="283" t="str">
        <f>IF(E69&lt;=8,"✅ 허용 가능","🟠 허용 불가 — 저감대책 추가 적용 검토. 위험도 감소(8이하) 후 도입 가능")</f>
        <v>✅ 허용 가능</v>
      </c>
      <c r="H70" s="283"/>
      <c r="I70" s="283"/>
      <c r="J70" s="283"/>
      <c r="K70" s="283"/>
      <c r="L70" s="283"/>
      <c r="M70" s="283"/>
      <c r="P70" s="137"/>
    </row>
  </sheetData>
  <mergeCells count="79">
    <mergeCell ref="A1:M1"/>
    <mergeCell ref="A2:N2"/>
    <mergeCell ref="B5:M5"/>
    <mergeCell ref="B6:B7"/>
    <mergeCell ref="C6:C7"/>
    <mergeCell ref="D6:D7"/>
    <mergeCell ref="E6:E7"/>
    <mergeCell ref="F6:F7"/>
    <mergeCell ref="G6:L6"/>
    <mergeCell ref="M6:M7"/>
    <mergeCell ref="B17:D17"/>
    <mergeCell ref="E17:F17"/>
    <mergeCell ref="G17:M17"/>
    <mergeCell ref="B18:D18"/>
    <mergeCell ref="E18:F18"/>
    <mergeCell ref="G18:M18"/>
    <mergeCell ref="B19:D19"/>
    <mergeCell ref="E19:F19"/>
    <mergeCell ref="G19:M19"/>
    <mergeCell ref="B20:D20"/>
    <mergeCell ref="E20:F20"/>
    <mergeCell ref="G20:M20"/>
    <mergeCell ref="B23:M23"/>
    <mergeCell ref="B24:C24"/>
    <mergeCell ref="E24:F24"/>
    <mergeCell ref="G24:M24"/>
    <mergeCell ref="B25:C25"/>
    <mergeCell ref="E25:F25"/>
    <mergeCell ref="G25:M25"/>
    <mergeCell ref="B26:C26"/>
    <mergeCell ref="E26:F26"/>
    <mergeCell ref="G26:M26"/>
    <mergeCell ref="B27:D27"/>
    <mergeCell ref="E27:F27"/>
    <mergeCell ref="G27:M27"/>
    <mergeCell ref="B28:D28"/>
    <mergeCell ref="E28:F28"/>
    <mergeCell ref="G28:M28"/>
    <mergeCell ref="B31:M31"/>
    <mergeCell ref="B32:D32"/>
    <mergeCell ref="E32:F32"/>
    <mergeCell ref="G32:M32"/>
    <mergeCell ref="B33:D33"/>
    <mergeCell ref="E33:F33"/>
    <mergeCell ref="G33:M33"/>
    <mergeCell ref="B36:M36"/>
    <mergeCell ref="B39:M39"/>
    <mergeCell ref="E63:J63"/>
    <mergeCell ref="F41:G41"/>
    <mergeCell ref="H41:I41"/>
    <mergeCell ref="J41:K41"/>
    <mergeCell ref="L41:M41"/>
    <mergeCell ref="B56:M56"/>
    <mergeCell ref="B57:D58"/>
    <mergeCell ref="E57:F57"/>
    <mergeCell ref="G57:H57"/>
    <mergeCell ref="I57:J57"/>
    <mergeCell ref="B40:B42"/>
    <mergeCell ref="C40:C42"/>
    <mergeCell ref="D40:D42"/>
    <mergeCell ref="E40:E42"/>
    <mergeCell ref="F40:M40"/>
    <mergeCell ref="B59:D59"/>
    <mergeCell ref="B60:D60"/>
    <mergeCell ref="B61:D61"/>
    <mergeCell ref="B62:D62"/>
    <mergeCell ref="B63:D63"/>
    <mergeCell ref="B66:D66"/>
    <mergeCell ref="E66:F66"/>
    <mergeCell ref="G66:M66"/>
    <mergeCell ref="B67:D67"/>
    <mergeCell ref="E67:F67"/>
    <mergeCell ref="G67:M67"/>
    <mergeCell ref="B69:D69"/>
    <mergeCell ref="E69:F69"/>
    <mergeCell ref="G69:M69"/>
    <mergeCell ref="B70:D70"/>
    <mergeCell ref="E70:F70"/>
    <mergeCell ref="G70:M70"/>
  </mergeCells>
  <phoneticPr fontId="1" type="noConversion"/>
  <conditionalFormatting sqref="E43:E53">
    <cfRule type="cellIs" dxfId="1" priority="1" operator="greaterThan">
      <formula>3</formula>
    </cfRule>
  </conditionalFormatting>
  <dataValidations count="3">
    <dataValidation sqref="F34:F35 F38 F65 F55" xr:uid="{DD4B0AD8-3A5F-4D71-B537-5D65BA36B278}"/>
    <dataValidation type="list" allowBlank="1" showDropDown="1" showInputMessage="1" showErrorMessage="1" sqref="F8:F15" xr:uid="{3FC22C72-5E6F-4535-A1D7-05506BEE562F}">
      <formula1>"1,2,3,4,5"</formula1>
    </dataValidation>
    <dataValidation allowBlank="1" showDropDown="1" showInputMessage="1" showErrorMessage="1" sqref="G7:G15" xr:uid="{306E0600-54CE-4F4A-81A0-678FB670B2B4}"/>
  </dataValidations>
  <pageMargins left="0.25" right="0.25" top="0.75" bottom="0.75" header="0.3" footer="0.3"/>
  <pageSetup paperSize="9" scale="77" fitToHeight="0" orientation="landscape" r:id="rId1"/>
  <rowBreaks count="3" manualBreakCount="3">
    <brk id="15" max="13" man="1"/>
    <brk id="33" max="13" man="1"/>
    <brk id="53" max="13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52D2D1B-B9CE-4197-BB5F-8854A9B4E243}">
          <x14:formula1>
            <xm:f>'(수정금지) 기준정보'!$C$229:$C$233</xm:f>
          </x14:formula1>
          <xm:sqref>D24</xm:sqref>
        </x14:dataValidation>
        <x14:dataValidation type="list" allowBlank="1" showInputMessage="1" showErrorMessage="1" xr:uid="{F7653706-48C7-48E1-9E46-434183D34402}">
          <x14:formula1>
            <xm:f>'(수정금지) 기준정보'!$E$229:$E$233</xm:f>
          </x14:formula1>
          <xm:sqref>D26</xm:sqref>
        </x14:dataValidation>
        <x14:dataValidation type="list" allowBlank="1" showInputMessage="1" showErrorMessage="1" xr:uid="{CCA088E1-7E73-4843-9FC2-EA31A2592BE6}">
          <x14:formula1>
            <xm:f>'(수정금지) 기준정보'!$D$229:$D$233</xm:f>
          </x14:formula1>
          <xm:sqref>D25</xm:sqref>
        </x14:dataValidation>
        <x14:dataValidation type="list" allowBlank="1" showInputMessage="1" showErrorMessage="1" xr:uid="{2FF71B29-9595-41E7-A069-95661444BBE5}">
          <x14:formula1>
            <xm:f>'⑥ 저감대책DB'!$B$62:$B$74</xm:f>
          </x14:formula1>
          <xm:sqref>E59 G59 I59</xm:sqref>
        </x14:dataValidation>
        <x14:dataValidation type="list" allowBlank="1" showInputMessage="1" showErrorMessage="1" xr:uid="{0BAE3CCC-4778-4D92-B15F-303C3F5591FD}">
          <x14:formula1>
            <xm:f>'⑥ 저감대책DB'!$B$75:$B$81</xm:f>
          </x14:formula1>
          <xm:sqref>E60 G60 I60</xm:sqref>
        </x14:dataValidation>
        <x14:dataValidation type="list" allowBlank="1" showInputMessage="1" showErrorMessage="1" xr:uid="{FBDFC1D6-08DE-44A6-BA98-257B072FE24E}">
          <x14:formula1>
            <xm:f>'⑥ 저감대책DB'!$B$82:$B$87</xm:f>
          </x14:formula1>
          <xm:sqref>E61 G61 I61</xm:sqref>
        </x14:dataValidation>
        <x14:dataValidation type="list" allowBlank="1" showInputMessage="1" showErrorMessage="1" xr:uid="{5917ABAC-2022-4593-BE7D-2450EBBAF682}">
          <x14:formula1>
            <xm:f>'⑥ 저감대책DB'!$B$88:$B$89</xm:f>
          </x14:formula1>
          <xm:sqref>E62 G62 I62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E064-BE70-4EA8-A32A-33B5102C7BC8}">
  <sheetPr>
    <tabColor rgb="FFFFFF00"/>
    <pageSetUpPr fitToPage="1"/>
  </sheetPr>
  <dimension ref="A1:M61"/>
  <sheetViews>
    <sheetView showGridLines="0" tabSelected="1" view="pageBreakPreview" topLeftCell="A45" zoomScaleNormal="100" zoomScaleSheetLayoutView="100" workbookViewId="0">
      <selection activeCell="H59" sqref="H59:I59"/>
    </sheetView>
  </sheetViews>
  <sheetFormatPr defaultColWidth="7.625" defaultRowHeight="16.5"/>
  <cols>
    <col min="1" max="1" width="1.75" style="66" customWidth="1"/>
    <col min="2" max="9" width="10.375" style="66" customWidth="1"/>
    <col min="10" max="10" width="15.75" style="66" customWidth="1"/>
    <col min="11" max="11" width="1.75" style="66" customWidth="1"/>
    <col min="12" max="16384" width="7.625" style="66"/>
  </cols>
  <sheetData>
    <row r="1" spans="2:10" ht="37.5" customHeight="1">
      <c r="B1" s="207" t="s">
        <v>494</v>
      </c>
      <c r="C1" s="207"/>
      <c r="D1" s="207"/>
      <c r="E1" s="207"/>
      <c r="F1" s="207"/>
      <c r="G1" s="207"/>
      <c r="H1" s="207"/>
      <c r="I1" s="207"/>
      <c r="J1" s="207"/>
    </row>
    <row r="2" spans="2:10" ht="18" customHeight="1">
      <c r="B2" s="208"/>
      <c r="C2" s="208"/>
      <c r="D2" s="208"/>
      <c r="E2" s="208"/>
      <c r="F2" s="208"/>
      <c r="G2" s="208"/>
      <c r="H2" s="208"/>
      <c r="I2" s="208"/>
      <c r="J2" s="208"/>
    </row>
    <row r="3" spans="2:10" ht="21.75" customHeight="1">
      <c r="B3" s="197" t="s">
        <v>495</v>
      </c>
      <c r="C3" s="197"/>
      <c r="D3" s="206"/>
      <c r="E3" s="206"/>
      <c r="F3" s="197" t="s">
        <v>496</v>
      </c>
      <c r="G3" s="197"/>
      <c r="H3" s="209"/>
      <c r="I3" s="209"/>
      <c r="J3" s="209"/>
    </row>
    <row r="4" spans="2:10" ht="21.75" customHeight="1">
      <c r="B4" s="197" t="s">
        <v>497</v>
      </c>
      <c r="C4" s="197"/>
      <c r="D4" s="206"/>
      <c r="E4" s="206"/>
      <c r="F4" s="197" t="s">
        <v>498</v>
      </c>
      <c r="G4" s="197"/>
      <c r="H4" s="206"/>
      <c r="I4" s="206"/>
      <c r="J4" s="206"/>
    </row>
    <row r="6" spans="2:10" ht="24" customHeight="1">
      <c r="B6" s="205" t="s">
        <v>499</v>
      </c>
      <c r="C6" s="205"/>
      <c r="D6" s="205"/>
      <c r="E6" s="205"/>
      <c r="F6" s="205"/>
      <c r="G6" s="205"/>
      <c r="H6" s="205"/>
      <c r="I6" s="205"/>
      <c r="J6" s="205"/>
    </row>
    <row r="7" spans="2:10" ht="26.25" customHeight="1">
      <c r="B7" s="197" t="str">
        <f>'① 기초Data'!B5</f>
        <v>제품명</v>
      </c>
      <c r="C7" s="197"/>
      <c r="D7" s="203">
        <f>'① 기초Data'!C5</f>
        <v>0</v>
      </c>
      <c r="E7" s="203"/>
      <c r="F7" s="197" t="str">
        <f>'① 기초Data'!B6</f>
        <v>제조사</v>
      </c>
      <c r="G7" s="197"/>
      <c r="H7" s="203">
        <f>'① 기초Data'!C6</f>
        <v>0</v>
      </c>
      <c r="I7" s="203"/>
      <c r="J7" s="203"/>
    </row>
    <row r="8" spans="2:10" ht="26.25" customHeight="1">
      <c r="B8" s="197" t="s">
        <v>500</v>
      </c>
      <c r="C8" s="197"/>
      <c r="D8" s="203">
        <f>'① 기초Data'!C9</f>
        <v>0</v>
      </c>
      <c r="E8" s="203"/>
      <c r="F8" s="197" t="s">
        <v>501</v>
      </c>
      <c r="G8" s="197"/>
      <c r="H8" s="203">
        <f>'① 기초Data'!D9</f>
        <v>0</v>
      </c>
      <c r="I8" s="203"/>
      <c r="J8" s="203"/>
    </row>
    <row r="9" spans="2:10" ht="26.25" customHeight="1">
      <c r="B9" s="197" t="str">
        <f>'① 기초Data'!B14</f>
        <v>취급부서 / 공정</v>
      </c>
      <c r="C9" s="197"/>
      <c r="D9" s="203">
        <f>'① 기초Data'!C14</f>
        <v>0</v>
      </c>
      <c r="E9" s="203"/>
      <c r="F9" s="197" t="str">
        <f>'① 기초Data'!B15</f>
        <v>저장·보관(예정) 장소</v>
      </c>
      <c r="G9" s="197"/>
      <c r="H9" s="203">
        <f>'① 기초Data'!C15</f>
        <v>0</v>
      </c>
      <c r="I9" s="203"/>
      <c r="J9" s="203"/>
    </row>
    <row r="11" spans="2:10" ht="24" customHeight="1">
      <c r="B11" s="196" t="s">
        <v>502</v>
      </c>
      <c r="C11" s="196"/>
      <c r="D11" s="196"/>
      <c r="E11" s="196"/>
      <c r="F11" s="196"/>
      <c r="G11" s="196"/>
      <c r="H11" s="196"/>
      <c r="I11" s="196"/>
      <c r="J11" s="196"/>
    </row>
    <row r="12" spans="2:10" ht="31.5" customHeight="1">
      <c r="B12" s="204" t="s">
        <v>503</v>
      </c>
      <c r="C12" s="204"/>
      <c r="D12" s="174" t="s">
        <v>504</v>
      </c>
      <c r="E12" s="174" t="s">
        <v>505</v>
      </c>
      <c r="F12" s="174" t="s">
        <v>506</v>
      </c>
      <c r="G12" s="174" t="s">
        <v>507</v>
      </c>
      <c r="H12" s="174" t="s">
        <v>508</v>
      </c>
      <c r="I12" s="204" t="s">
        <v>509</v>
      </c>
      <c r="J12" s="204"/>
    </row>
    <row r="13" spans="2:10" ht="27.75" customHeight="1">
      <c r="B13" s="197" t="s">
        <v>510</v>
      </c>
      <c r="C13" s="197"/>
      <c r="D13" s="177">
        <f>'② 물리화학적 위험성'!E20</f>
        <v>1</v>
      </c>
      <c r="E13" s="177">
        <f>'② 물리화학적 위험성'!E28</f>
        <v>1</v>
      </c>
      <c r="F13" s="177">
        <f>'② 물리화학적 위험성'!E67</f>
        <v>1</v>
      </c>
      <c r="G13" s="175" t="str">
        <f>'② 물리화학적 위험성'!E70&amp;" / "&amp;'② 물리화학적 위험성'!E69</f>
        <v>저 / 1</v>
      </c>
      <c r="H13" s="176" t="str">
        <f>IF(COUNTIF('② 물리화학적 위험성'!F8:F15,"&gt;=5")&gt;=1,COUNTIF('② 물리화학적 위험성'!F8:F15,"&gt;=5"),"")</f>
        <v/>
      </c>
      <c r="I13" s="198"/>
      <c r="J13" s="198"/>
    </row>
    <row r="14" spans="2:10" ht="27.75" customHeight="1">
      <c r="B14" s="197" t="s">
        <v>511</v>
      </c>
      <c r="C14" s="197"/>
      <c r="D14" s="177">
        <f>'③ 환경오염 위험성'!E20</f>
        <v>1</v>
      </c>
      <c r="E14" s="177">
        <f>'③ 환경오염 위험성'!E28</f>
        <v>1</v>
      </c>
      <c r="F14" s="177">
        <f>'③ 환경오염 위험성'!E66</f>
        <v>1</v>
      </c>
      <c r="G14" s="175" t="str">
        <f>'③ 환경오염 위험성'!E69&amp;" / "&amp;'③ 환경오염 위험성'!E68</f>
        <v>저 / 1</v>
      </c>
      <c r="H14" s="176" t="str">
        <f>IF(COUNTIF('③ 환경오염 위험성'!F8:F15,"&gt;=5")&gt;=1,COUNTIF('③ 환경오염 위험성'!F8:F15,"&gt;=5"),"")</f>
        <v/>
      </c>
      <c r="I14" s="198"/>
      <c r="J14" s="198"/>
    </row>
    <row r="15" spans="2:10" ht="27.75" customHeight="1">
      <c r="B15" s="197" t="s">
        <v>512</v>
      </c>
      <c r="C15" s="197"/>
      <c r="D15" s="177">
        <f>'④ 작업자 안전보건'!E20</f>
        <v>1</v>
      </c>
      <c r="E15" s="177">
        <f>'④ 작업자 안전보건'!E28</f>
        <v>1</v>
      </c>
      <c r="F15" s="177">
        <f>'④ 작업자 안전보건'!E67</f>
        <v>1</v>
      </c>
      <c r="G15" s="175" t="str">
        <f>'④ 작업자 안전보건'!E70&amp;" / "&amp;'④ 작업자 안전보건'!E69</f>
        <v>저 / 1</v>
      </c>
      <c r="H15" s="176" t="str">
        <f>IF(COUNTIF('④ 작업자 안전보건'!F8:F15,"&gt;=5")&gt;=1,COUNTIF('④ 작업자 안전보건'!F8:F15,"&gt;=5"),"")</f>
        <v/>
      </c>
      <c r="I15" s="198"/>
      <c r="J15" s="198"/>
    </row>
    <row r="16" spans="2:10" ht="39.75" customHeight="1">
      <c r="B16" s="197" t="s">
        <v>513</v>
      </c>
      <c r="C16" s="197"/>
      <c r="D16" s="199" t="str">
        <f>IF(MAX('② 물리화학적 위험성'!E69,'③ 환경오염 위험성'!E68,'④ 작업자 안전보건'!E69)&gt;=17,"🔴 허용 불가  — 원칙적 도입/취급 불가 (도입하려면 경영진 예외 승인 필수)",IF(MAX('② 물리화학적 위험성'!E69,'③ 환경오염 위험성'!E68,'④ 작업자 안전보건'!E69)&gt;=10,"🟠 고위험  — 저감대책 보강 후 재평가하여 위험도 감소 후 도입/취급 가능",IF(MAX('② 물리화학적 위험성'!E69,'③ 환경오염 위험성'!E68,'④ 작업자 안전보건'!E69)&gt;=5,"🟡 중위험 — 부서장 승인 후 도입/취급 가능 (추가 저감대책 검토 권장, 모니터링 지속)"&amp;"
"&amp;IF(SUM(H13:H15)&gt;=1,"🟠 치명항목(유해성 5점) 有  — SHE부서 검토자 반영 필요",""),"🟢 저위험  — 부서장 승인 후 도입/취급 가능"&amp;"
"&amp;IF(SUM(H13:H15)&gt;=1,"🟠 치명항목(유해성 5점) 有  — SHE부서 검토자 반영 필요",""))))</f>
        <v xml:space="preserve">🟢 저위험  — 부서장 승인 후 도입/취급 가능
</v>
      </c>
      <c r="E16" s="199"/>
      <c r="F16" s="199"/>
      <c r="G16" s="199"/>
      <c r="H16" s="199"/>
      <c r="I16" s="199"/>
      <c r="J16" s="199"/>
    </row>
    <row r="17" spans="1:13" ht="28.5" customHeight="1">
      <c r="B17" s="194" t="s">
        <v>514</v>
      </c>
      <c r="C17" s="194"/>
      <c r="D17" s="194"/>
      <c r="E17" s="194"/>
      <c r="F17" s="194"/>
      <c r="G17" s="194"/>
      <c r="H17" s="194"/>
      <c r="I17" s="194"/>
      <c r="J17" s="194"/>
    </row>
    <row r="19" spans="1:13" ht="24" customHeight="1">
      <c r="B19" s="195" t="s">
        <v>515</v>
      </c>
      <c r="C19" s="195"/>
      <c r="D19" s="195"/>
      <c r="E19" s="195"/>
      <c r="F19" s="195"/>
      <c r="G19" s="195"/>
      <c r="H19" s="195"/>
      <c r="I19" s="195"/>
      <c r="J19" s="195"/>
    </row>
    <row r="20" spans="1:13" s="4" customFormat="1" ht="21.75" customHeight="1">
      <c r="A20" s="104"/>
      <c r="B20" s="168" t="s">
        <v>516</v>
      </c>
      <c r="C20" s="168" t="s">
        <v>517</v>
      </c>
      <c r="D20" s="200" t="s">
        <v>518</v>
      </c>
      <c r="E20" s="201"/>
      <c r="F20" s="202"/>
      <c r="G20" s="168" t="s">
        <v>519</v>
      </c>
      <c r="H20" s="168" t="s">
        <v>520</v>
      </c>
      <c r="I20" s="168" t="s">
        <v>521</v>
      </c>
      <c r="J20" s="168" t="s">
        <v>509</v>
      </c>
      <c r="K20" s="122"/>
      <c r="L20" s="122"/>
      <c r="M20" s="122"/>
    </row>
    <row r="21" spans="1:13" s="4" customFormat="1" ht="20.100000000000001" customHeight="1">
      <c r="A21" s="104"/>
      <c r="B21" s="182" t="s">
        <v>510</v>
      </c>
      <c r="C21" s="183" t="s">
        <v>522</v>
      </c>
      <c r="D21" s="181" t="str">
        <f>'② 물리화학적 위험성'!F59</f>
        <v/>
      </c>
      <c r="E21" s="181"/>
      <c r="F21" s="181"/>
      <c r="G21" s="170"/>
      <c r="H21" s="171"/>
      <c r="I21" s="172"/>
      <c r="J21" s="173"/>
      <c r="K21" s="125"/>
      <c r="L21" s="125"/>
      <c r="M21" s="125"/>
    </row>
    <row r="22" spans="1:13" s="4" customFormat="1" ht="20.100000000000001" customHeight="1">
      <c r="A22" s="104"/>
      <c r="B22" s="182"/>
      <c r="C22" s="184"/>
      <c r="D22" s="181" t="str">
        <f>'② 물리화학적 위험성'!H59</f>
        <v/>
      </c>
      <c r="E22" s="181"/>
      <c r="F22" s="181"/>
      <c r="G22" s="170"/>
      <c r="H22" s="171"/>
      <c r="I22" s="172"/>
      <c r="J22" s="173"/>
      <c r="K22" s="125"/>
      <c r="L22" s="125"/>
      <c r="M22" s="125"/>
    </row>
    <row r="23" spans="1:13" s="4" customFormat="1" ht="20.100000000000001" customHeight="1">
      <c r="A23" s="104"/>
      <c r="B23" s="182"/>
      <c r="C23" s="185"/>
      <c r="D23" s="181" t="str">
        <f>'② 물리화학적 위험성'!J59</f>
        <v/>
      </c>
      <c r="E23" s="181"/>
      <c r="F23" s="181"/>
      <c r="G23" s="170"/>
      <c r="H23" s="171"/>
      <c r="I23" s="172"/>
      <c r="J23" s="173"/>
      <c r="K23" s="125"/>
      <c r="L23" s="125"/>
      <c r="M23" s="125"/>
    </row>
    <row r="24" spans="1:13" s="4" customFormat="1" ht="20.100000000000001" customHeight="1">
      <c r="A24" s="104"/>
      <c r="B24" s="182"/>
      <c r="C24" s="183" t="s">
        <v>523</v>
      </c>
      <c r="D24" s="181" t="str">
        <f>'② 물리화학적 위험성'!F60</f>
        <v/>
      </c>
      <c r="E24" s="181"/>
      <c r="F24" s="181"/>
      <c r="G24" s="170"/>
      <c r="H24" s="171"/>
      <c r="I24" s="172"/>
      <c r="J24" s="173"/>
      <c r="K24" s="125"/>
      <c r="L24" s="125"/>
      <c r="M24" s="125"/>
    </row>
    <row r="25" spans="1:13" s="4" customFormat="1" ht="20.100000000000001" customHeight="1">
      <c r="A25" s="104"/>
      <c r="B25" s="182"/>
      <c r="C25" s="184"/>
      <c r="D25" s="181" t="str">
        <f>'② 물리화학적 위험성'!H60</f>
        <v/>
      </c>
      <c r="E25" s="181"/>
      <c r="F25" s="181"/>
      <c r="G25" s="170"/>
      <c r="H25" s="171"/>
      <c r="I25" s="172"/>
      <c r="J25" s="173"/>
      <c r="K25" s="125"/>
      <c r="L25" s="125"/>
      <c r="M25" s="125"/>
    </row>
    <row r="26" spans="1:13" s="4" customFormat="1" ht="20.100000000000001" customHeight="1">
      <c r="A26" s="104"/>
      <c r="B26" s="182"/>
      <c r="C26" s="185"/>
      <c r="D26" s="181" t="str">
        <f>'② 물리화학적 위험성'!J60</f>
        <v/>
      </c>
      <c r="E26" s="181"/>
      <c r="F26" s="181"/>
      <c r="G26" s="170"/>
      <c r="H26" s="171"/>
      <c r="I26" s="172"/>
      <c r="J26" s="173"/>
      <c r="K26" s="125"/>
      <c r="L26" s="125"/>
      <c r="M26" s="125"/>
    </row>
    <row r="27" spans="1:13" s="4" customFormat="1" ht="20.100000000000001" customHeight="1">
      <c r="A27" s="104"/>
      <c r="B27" s="182"/>
      <c r="C27" s="183" t="s">
        <v>524</v>
      </c>
      <c r="D27" s="181" t="str">
        <f>'② 물리화학적 위험성'!F61</f>
        <v/>
      </c>
      <c r="E27" s="181"/>
      <c r="F27" s="181"/>
      <c r="G27" s="170"/>
      <c r="H27" s="171"/>
      <c r="I27" s="172"/>
      <c r="J27" s="173"/>
      <c r="K27" s="125"/>
      <c r="L27" s="125"/>
      <c r="M27" s="125"/>
    </row>
    <row r="28" spans="1:13" s="4" customFormat="1" ht="20.100000000000001" customHeight="1">
      <c r="A28" s="104"/>
      <c r="B28" s="182"/>
      <c r="C28" s="184"/>
      <c r="D28" s="181" t="str">
        <f>'② 물리화학적 위험성'!H61</f>
        <v/>
      </c>
      <c r="E28" s="181"/>
      <c r="F28" s="181"/>
      <c r="G28" s="170"/>
      <c r="H28" s="171"/>
      <c r="I28" s="172"/>
      <c r="J28" s="173"/>
      <c r="K28" s="125"/>
      <c r="L28" s="125"/>
      <c r="M28" s="125"/>
    </row>
    <row r="29" spans="1:13" s="4" customFormat="1" ht="20.100000000000001" customHeight="1">
      <c r="A29" s="104"/>
      <c r="B29" s="182"/>
      <c r="C29" s="185"/>
      <c r="D29" s="181" t="str">
        <f>'② 물리화학적 위험성'!J61</f>
        <v/>
      </c>
      <c r="E29" s="181"/>
      <c r="F29" s="181"/>
      <c r="G29" s="170"/>
      <c r="H29" s="171"/>
      <c r="I29" s="172"/>
      <c r="J29" s="173"/>
      <c r="K29" s="125"/>
      <c r="L29" s="125"/>
      <c r="M29" s="125"/>
    </row>
    <row r="30" spans="1:13" s="4" customFormat="1" ht="20.100000000000001" customHeight="1">
      <c r="A30" s="104"/>
      <c r="B30" s="182"/>
      <c r="C30" s="183" t="s">
        <v>525</v>
      </c>
      <c r="D30" s="181" t="str">
        <f>'② 물리화학적 위험성'!F62</f>
        <v/>
      </c>
      <c r="E30" s="181"/>
      <c r="F30" s="181"/>
      <c r="G30" s="170"/>
      <c r="H30" s="171"/>
      <c r="I30" s="172"/>
      <c r="J30" s="173"/>
      <c r="K30" s="125"/>
      <c r="L30" s="125"/>
      <c r="M30" s="125"/>
    </row>
    <row r="31" spans="1:13" s="4" customFormat="1" ht="20.100000000000001" customHeight="1">
      <c r="A31" s="104"/>
      <c r="B31" s="182"/>
      <c r="C31" s="184"/>
      <c r="D31" s="181" t="str">
        <f>'② 물리화학적 위험성'!H62</f>
        <v/>
      </c>
      <c r="E31" s="181"/>
      <c r="F31" s="181"/>
      <c r="G31" s="170"/>
      <c r="H31" s="171"/>
      <c r="I31" s="172"/>
      <c r="J31" s="173"/>
      <c r="K31" s="125"/>
      <c r="L31" s="125"/>
      <c r="M31" s="125"/>
    </row>
    <row r="32" spans="1:13" s="4" customFormat="1" ht="20.100000000000001" customHeight="1">
      <c r="A32" s="104"/>
      <c r="B32" s="182"/>
      <c r="C32" s="185"/>
      <c r="D32" s="181" t="str">
        <f>'② 물리화학적 위험성'!J62</f>
        <v/>
      </c>
      <c r="E32" s="181"/>
      <c r="F32" s="181"/>
      <c r="G32" s="170"/>
      <c r="H32" s="171"/>
      <c r="I32" s="172"/>
      <c r="J32" s="173"/>
      <c r="K32" s="125"/>
      <c r="L32" s="125"/>
      <c r="M32" s="125"/>
    </row>
    <row r="33" spans="1:13" s="4" customFormat="1" ht="20.100000000000001" customHeight="1">
      <c r="A33" s="104"/>
      <c r="B33" s="182" t="s">
        <v>511</v>
      </c>
      <c r="C33" s="183" t="s">
        <v>522</v>
      </c>
      <c r="D33" s="181" t="str">
        <f>'③ 환경오염 위험성'!F59</f>
        <v/>
      </c>
      <c r="E33" s="181"/>
      <c r="F33" s="181"/>
      <c r="G33" s="170"/>
      <c r="H33" s="171"/>
      <c r="I33" s="172"/>
      <c r="J33" s="173"/>
      <c r="K33" s="125"/>
      <c r="L33" s="125"/>
      <c r="M33" s="125"/>
    </row>
    <row r="34" spans="1:13" s="4" customFormat="1" ht="20.100000000000001" customHeight="1">
      <c r="A34" s="104"/>
      <c r="B34" s="182"/>
      <c r="C34" s="184"/>
      <c r="D34" s="181" t="str">
        <f>'③ 환경오염 위험성'!H59</f>
        <v/>
      </c>
      <c r="E34" s="181"/>
      <c r="F34" s="181"/>
      <c r="G34" s="170"/>
      <c r="H34" s="171"/>
      <c r="I34" s="172"/>
      <c r="J34" s="173"/>
      <c r="K34" s="125"/>
      <c r="L34" s="125"/>
      <c r="M34" s="125"/>
    </row>
    <row r="35" spans="1:13" s="4" customFormat="1" ht="20.100000000000001" customHeight="1">
      <c r="A35" s="104"/>
      <c r="B35" s="182"/>
      <c r="C35" s="185"/>
      <c r="D35" s="181" t="str">
        <f>'③ 환경오염 위험성'!J59</f>
        <v/>
      </c>
      <c r="E35" s="181"/>
      <c r="F35" s="181"/>
      <c r="G35" s="170"/>
      <c r="H35" s="171"/>
      <c r="I35" s="172"/>
      <c r="J35" s="173"/>
      <c r="K35" s="125"/>
      <c r="L35" s="125"/>
      <c r="M35" s="125"/>
    </row>
    <row r="36" spans="1:13" s="4" customFormat="1" ht="20.100000000000001" customHeight="1">
      <c r="A36" s="104"/>
      <c r="B36" s="182"/>
      <c r="C36" s="183" t="s">
        <v>523</v>
      </c>
      <c r="D36" s="181" t="str">
        <f>'③ 환경오염 위험성'!F60</f>
        <v/>
      </c>
      <c r="E36" s="181"/>
      <c r="F36" s="181"/>
      <c r="G36" s="170"/>
      <c r="H36" s="171"/>
      <c r="I36" s="172"/>
      <c r="J36" s="173"/>
      <c r="K36" s="125"/>
      <c r="L36" s="125"/>
      <c r="M36" s="125"/>
    </row>
    <row r="37" spans="1:13" s="4" customFormat="1" ht="20.100000000000001" customHeight="1">
      <c r="A37" s="104"/>
      <c r="B37" s="182"/>
      <c r="C37" s="184"/>
      <c r="D37" s="181" t="str">
        <f>'③ 환경오염 위험성'!H60</f>
        <v/>
      </c>
      <c r="E37" s="181"/>
      <c r="F37" s="181"/>
      <c r="G37" s="170"/>
      <c r="H37" s="171"/>
      <c r="I37" s="172"/>
      <c r="J37" s="173"/>
      <c r="K37" s="125"/>
      <c r="L37" s="125"/>
      <c r="M37" s="125"/>
    </row>
    <row r="38" spans="1:13" s="4" customFormat="1" ht="20.100000000000001" customHeight="1">
      <c r="A38" s="104"/>
      <c r="B38" s="182"/>
      <c r="C38" s="185"/>
      <c r="D38" s="181" t="str">
        <f>'③ 환경오염 위험성'!J60</f>
        <v/>
      </c>
      <c r="E38" s="181"/>
      <c r="F38" s="181"/>
      <c r="G38" s="170"/>
      <c r="H38" s="171"/>
      <c r="I38" s="172"/>
      <c r="J38" s="173"/>
      <c r="K38" s="125"/>
      <c r="L38" s="125"/>
      <c r="M38" s="125"/>
    </row>
    <row r="39" spans="1:13" s="4" customFormat="1" ht="20.100000000000001" customHeight="1">
      <c r="A39" s="104"/>
      <c r="B39" s="182"/>
      <c r="C39" s="183" t="s">
        <v>524</v>
      </c>
      <c r="D39" s="181" t="str">
        <f>'③ 환경오염 위험성'!F61</f>
        <v/>
      </c>
      <c r="E39" s="181"/>
      <c r="F39" s="181"/>
      <c r="G39" s="170"/>
      <c r="H39" s="171"/>
      <c r="I39" s="172"/>
      <c r="J39" s="173"/>
      <c r="K39" s="125"/>
      <c r="L39" s="125"/>
      <c r="M39" s="125"/>
    </row>
    <row r="40" spans="1:13" s="4" customFormat="1" ht="20.100000000000001" customHeight="1">
      <c r="A40" s="104"/>
      <c r="B40" s="182"/>
      <c r="C40" s="184"/>
      <c r="D40" s="181" t="str">
        <f>'③ 환경오염 위험성'!H61</f>
        <v/>
      </c>
      <c r="E40" s="181"/>
      <c r="F40" s="181"/>
      <c r="G40" s="170"/>
      <c r="H40" s="171"/>
      <c r="I40" s="172"/>
      <c r="J40" s="173"/>
      <c r="K40" s="125"/>
      <c r="L40" s="125"/>
      <c r="M40" s="125"/>
    </row>
    <row r="41" spans="1:13" s="4" customFormat="1" ht="20.100000000000001" customHeight="1">
      <c r="A41" s="104"/>
      <c r="B41" s="182"/>
      <c r="C41" s="185"/>
      <c r="D41" s="181" t="str">
        <f>'③ 환경오염 위험성'!J61</f>
        <v/>
      </c>
      <c r="E41" s="181"/>
      <c r="F41" s="181"/>
      <c r="G41" s="170"/>
      <c r="H41" s="171"/>
      <c r="I41" s="172"/>
      <c r="J41" s="173"/>
      <c r="K41" s="125"/>
      <c r="L41" s="125"/>
      <c r="M41" s="125"/>
    </row>
    <row r="42" spans="1:13" s="4" customFormat="1" ht="20.100000000000001" customHeight="1">
      <c r="A42" s="104"/>
      <c r="B42" s="182" t="s">
        <v>526</v>
      </c>
      <c r="C42" s="183" t="s">
        <v>522</v>
      </c>
      <c r="D42" s="181" t="str">
        <f>'④ 작업자 안전보건'!F59</f>
        <v/>
      </c>
      <c r="E42" s="181"/>
      <c r="F42" s="181"/>
      <c r="G42" s="170"/>
      <c r="H42" s="171"/>
      <c r="I42" s="172"/>
      <c r="J42" s="173"/>
      <c r="K42" s="125"/>
      <c r="L42" s="125"/>
      <c r="M42" s="125"/>
    </row>
    <row r="43" spans="1:13" s="4" customFormat="1" ht="20.100000000000001" customHeight="1">
      <c r="A43" s="104"/>
      <c r="B43" s="182"/>
      <c r="C43" s="184"/>
      <c r="D43" s="181" t="str">
        <f>'④ 작업자 안전보건'!H59</f>
        <v/>
      </c>
      <c r="E43" s="181"/>
      <c r="F43" s="181"/>
      <c r="G43" s="170"/>
      <c r="H43" s="171"/>
      <c r="I43" s="172"/>
      <c r="J43" s="173"/>
      <c r="K43" s="125"/>
      <c r="L43" s="125"/>
      <c r="M43" s="125"/>
    </row>
    <row r="44" spans="1:13" s="4" customFormat="1" ht="20.100000000000001" customHeight="1">
      <c r="A44" s="104"/>
      <c r="B44" s="182"/>
      <c r="C44" s="185"/>
      <c r="D44" s="181" t="str">
        <f>'④ 작업자 안전보건'!J59</f>
        <v/>
      </c>
      <c r="E44" s="181"/>
      <c r="F44" s="181"/>
      <c r="G44" s="170"/>
      <c r="H44" s="171"/>
      <c r="I44" s="172"/>
      <c r="J44" s="173"/>
      <c r="K44" s="125"/>
      <c r="L44" s="125"/>
      <c r="M44" s="125"/>
    </row>
    <row r="45" spans="1:13" s="4" customFormat="1" ht="20.100000000000001" customHeight="1">
      <c r="A45" s="104"/>
      <c r="B45" s="182"/>
      <c r="C45" s="183" t="s">
        <v>523</v>
      </c>
      <c r="D45" s="181" t="str">
        <f>'④ 작업자 안전보건'!F60</f>
        <v/>
      </c>
      <c r="E45" s="181"/>
      <c r="F45" s="181"/>
      <c r="G45" s="170"/>
      <c r="H45" s="171"/>
      <c r="I45" s="172"/>
      <c r="J45" s="173"/>
      <c r="K45" s="125"/>
      <c r="L45" s="125"/>
      <c r="M45" s="125"/>
    </row>
    <row r="46" spans="1:13" s="4" customFormat="1" ht="20.100000000000001" customHeight="1">
      <c r="A46" s="104"/>
      <c r="B46" s="182"/>
      <c r="C46" s="184"/>
      <c r="D46" s="181" t="str">
        <f>'④ 작업자 안전보건'!H60</f>
        <v/>
      </c>
      <c r="E46" s="181"/>
      <c r="F46" s="181"/>
      <c r="G46" s="170"/>
      <c r="H46" s="171"/>
      <c r="I46" s="172"/>
      <c r="J46" s="173"/>
      <c r="K46" s="125"/>
      <c r="L46" s="125"/>
      <c r="M46" s="125"/>
    </row>
    <row r="47" spans="1:13" s="4" customFormat="1" ht="20.100000000000001" customHeight="1">
      <c r="A47" s="104"/>
      <c r="B47" s="182"/>
      <c r="C47" s="185"/>
      <c r="D47" s="181" t="str">
        <f>'④ 작업자 안전보건'!J60</f>
        <v/>
      </c>
      <c r="E47" s="181"/>
      <c r="F47" s="181"/>
      <c r="G47" s="170"/>
      <c r="H47" s="171"/>
      <c r="I47" s="172"/>
      <c r="J47" s="173"/>
      <c r="K47" s="125"/>
      <c r="L47" s="125"/>
      <c r="M47" s="125"/>
    </row>
    <row r="48" spans="1:13" s="4" customFormat="1" ht="20.100000000000001" customHeight="1">
      <c r="A48" s="104"/>
      <c r="B48" s="182"/>
      <c r="C48" s="183" t="s">
        <v>524</v>
      </c>
      <c r="D48" s="181" t="str">
        <f>'④ 작업자 안전보건'!F61</f>
        <v/>
      </c>
      <c r="E48" s="181"/>
      <c r="F48" s="181"/>
      <c r="G48" s="170"/>
      <c r="H48" s="171"/>
      <c r="I48" s="172"/>
      <c r="J48" s="173"/>
      <c r="K48" s="125"/>
      <c r="L48" s="125"/>
      <c r="M48" s="125"/>
    </row>
    <row r="49" spans="1:13" s="4" customFormat="1" ht="20.100000000000001" customHeight="1">
      <c r="A49" s="104"/>
      <c r="B49" s="182"/>
      <c r="C49" s="184"/>
      <c r="D49" s="181" t="str">
        <f>'④ 작업자 안전보건'!H61</f>
        <v/>
      </c>
      <c r="E49" s="181"/>
      <c r="F49" s="181"/>
      <c r="G49" s="170"/>
      <c r="H49" s="171"/>
      <c r="I49" s="172"/>
      <c r="J49" s="173"/>
      <c r="K49" s="125"/>
      <c r="L49" s="125"/>
      <c r="M49" s="125"/>
    </row>
    <row r="50" spans="1:13" s="4" customFormat="1" ht="20.100000000000001" customHeight="1">
      <c r="A50" s="104"/>
      <c r="B50" s="182"/>
      <c r="C50" s="185"/>
      <c r="D50" s="181" t="str">
        <f>'④ 작업자 안전보건'!J61</f>
        <v/>
      </c>
      <c r="E50" s="181"/>
      <c r="F50" s="181"/>
      <c r="G50" s="170"/>
      <c r="H50" s="171"/>
      <c r="I50" s="172"/>
      <c r="J50" s="173"/>
      <c r="K50" s="125"/>
      <c r="L50" s="125"/>
      <c r="M50" s="125"/>
    </row>
    <row r="51" spans="1:13" s="4" customFormat="1" ht="20.100000000000001" customHeight="1">
      <c r="A51" s="104"/>
      <c r="B51" s="182"/>
      <c r="C51" s="183" t="s">
        <v>525</v>
      </c>
      <c r="D51" s="181" t="str">
        <f>'④ 작업자 안전보건'!F62</f>
        <v/>
      </c>
      <c r="E51" s="181"/>
      <c r="F51" s="181"/>
      <c r="G51" s="170"/>
      <c r="H51" s="171"/>
      <c r="I51" s="172"/>
      <c r="J51" s="173"/>
      <c r="K51" s="125"/>
      <c r="L51" s="125"/>
      <c r="M51" s="125"/>
    </row>
    <row r="52" spans="1:13" s="4" customFormat="1" ht="20.100000000000001" customHeight="1">
      <c r="A52" s="104"/>
      <c r="B52" s="182"/>
      <c r="C52" s="184"/>
      <c r="D52" s="181" t="str">
        <f>'④ 작업자 안전보건'!H62</f>
        <v/>
      </c>
      <c r="E52" s="181"/>
      <c r="F52" s="181"/>
      <c r="G52" s="170"/>
      <c r="H52" s="171"/>
      <c r="I52" s="172"/>
      <c r="J52" s="173"/>
      <c r="K52" s="125"/>
      <c r="L52" s="125"/>
      <c r="M52" s="125"/>
    </row>
    <row r="53" spans="1:13" s="4" customFormat="1" ht="20.100000000000001" customHeight="1">
      <c r="A53" s="104"/>
      <c r="B53" s="182"/>
      <c r="C53" s="185"/>
      <c r="D53" s="181" t="str">
        <f>'④ 작업자 안전보건'!J62</f>
        <v/>
      </c>
      <c r="E53" s="181"/>
      <c r="F53" s="181"/>
      <c r="G53" s="170"/>
      <c r="H53" s="171"/>
      <c r="I53" s="172"/>
      <c r="J53" s="173"/>
      <c r="K53" s="125"/>
      <c r="L53" s="125"/>
      <c r="M53" s="125"/>
    </row>
    <row r="55" spans="1:13" ht="24" customHeight="1">
      <c r="B55" s="196" t="s">
        <v>527</v>
      </c>
      <c r="C55" s="196"/>
      <c r="D55" s="196"/>
      <c r="E55" s="196"/>
      <c r="F55" s="196"/>
      <c r="G55" s="196"/>
      <c r="H55" s="196"/>
      <c r="I55" s="196"/>
      <c r="J55" s="196"/>
    </row>
    <row r="56" spans="1:13" ht="18.75" customHeight="1">
      <c r="B56" s="191" t="s">
        <v>528</v>
      </c>
      <c r="C56" s="192"/>
      <c r="D56" s="192"/>
      <c r="E56" s="192"/>
      <c r="F56" s="192"/>
      <c r="G56" s="192"/>
      <c r="H56" s="192"/>
      <c r="I56" s="192"/>
      <c r="J56" s="193"/>
    </row>
    <row r="57" spans="1:13" ht="69.75" customHeight="1">
      <c r="B57" s="188"/>
      <c r="C57" s="189"/>
      <c r="D57" s="189"/>
      <c r="E57" s="189"/>
      <c r="F57" s="189"/>
      <c r="G57" s="189"/>
      <c r="H57" s="189"/>
      <c r="I57" s="189"/>
      <c r="J57" s="190"/>
    </row>
    <row r="58" spans="1:13" ht="18.75" customHeight="1">
      <c r="B58" s="182" t="s">
        <v>529</v>
      </c>
      <c r="C58" s="182"/>
      <c r="D58" s="182"/>
      <c r="E58" s="182"/>
      <c r="F58" s="182"/>
      <c r="G58" s="182"/>
      <c r="H58" s="182"/>
      <c r="I58" s="182"/>
      <c r="J58" s="169" t="s">
        <v>530</v>
      </c>
    </row>
    <row r="59" spans="1:13" ht="85.5" customHeight="1">
      <c r="B59" s="186" t="s">
        <v>531</v>
      </c>
      <c r="C59" s="186"/>
      <c r="D59" s="186"/>
      <c r="E59" s="186"/>
      <c r="F59" s="186"/>
      <c r="G59" s="186"/>
      <c r="H59" s="187" t="s">
        <v>532</v>
      </c>
      <c r="I59" s="187"/>
      <c r="J59" s="172"/>
    </row>
    <row r="60" spans="1:13" ht="18.75" customHeight="1">
      <c r="B60" s="182" t="s">
        <v>533</v>
      </c>
      <c r="C60" s="182"/>
      <c r="D60" s="182"/>
      <c r="E60" s="182"/>
      <c r="F60" s="182"/>
      <c r="G60" s="182"/>
      <c r="H60" s="182"/>
      <c r="I60" s="182"/>
      <c r="J60" s="169" t="s">
        <v>530</v>
      </c>
    </row>
    <row r="61" spans="1:13" ht="85.5" customHeight="1">
      <c r="B61" s="186" t="s">
        <v>531</v>
      </c>
      <c r="C61" s="186"/>
      <c r="D61" s="186"/>
      <c r="E61" s="186"/>
      <c r="F61" s="186"/>
      <c r="G61" s="186"/>
      <c r="H61" s="187" t="s">
        <v>532</v>
      </c>
      <c r="I61" s="187"/>
      <c r="J61" s="172"/>
    </row>
  </sheetData>
  <mergeCells count="93">
    <mergeCell ref="B4:C4"/>
    <mergeCell ref="D4:E4"/>
    <mergeCell ref="F4:G4"/>
    <mergeCell ref="H4:J4"/>
    <mergeCell ref="B1:J1"/>
    <mergeCell ref="B2:J2"/>
    <mergeCell ref="B3:C3"/>
    <mergeCell ref="D3:E3"/>
    <mergeCell ref="F3:G3"/>
    <mergeCell ref="H3:J3"/>
    <mergeCell ref="B6:J6"/>
    <mergeCell ref="B7:C7"/>
    <mergeCell ref="D7:E7"/>
    <mergeCell ref="F7:G7"/>
    <mergeCell ref="H7:J7"/>
    <mergeCell ref="B14:C14"/>
    <mergeCell ref="I14:J14"/>
    <mergeCell ref="B8:C8"/>
    <mergeCell ref="D8:E8"/>
    <mergeCell ref="F8:G8"/>
    <mergeCell ref="H8:J8"/>
    <mergeCell ref="B9:C9"/>
    <mergeCell ref="D9:E9"/>
    <mergeCell ref="F9:G9"/>
    <mergeCell ref="H9:J9"/>
    <mergeCell ref="B11:J11"/>
    <mergeCell ref="B12:C12"/>
    <mergeCell ref="I12:J12"/>
    <mergeCell ref="B13:C13"/>
    <mergeCell ref="I13:J13"/>
    <mergeCell ref="D52:F52"/>
    <mergeCell ref="B17:J17"/>
    <mergeCell ref="B19:J19"/>
    <mergeCell ref="B55:J55"/>
    <mergeCell ref="B15:C15"/>
    <mergeCell ref="I15:J15"/>
    <mergeCell ref="B16:C16"/>
    <mergeCell ref="D16:J16"/>
    <mergeCell ref="D20:F20"/>
    <mergeCell ref="D21:F21"/>
    <mergeCell ref="D22:F22"/>
    <mergeCell ref="D23:F23"/>
    <mergeCell ref="D24:F24"/>
    <mergeCell ref="B21:B32"/>
    <mergeCell ref="D37:F37"/>
    <mergeCell ref="D38:F38"/>
    <mergeCell ref="B33:B41"/>
    <mergeCell ref="C33:C35"/>
    <mergeCell ref="D33:F33"/>
    <mergeCell ref="D34:F34"/>
    <mergeCell ref="D35:F35"/>
    <mergeCell ref="C36:C38"/>
    <mergeCell ref="D36:F36"/>
    <mergeCell ref="C39:C41"/>
    <mergeCell ref="D39:F39"/>
    <mergeCell ref="D40:F40"/>
    <mergeCell ref="D41:F41"/>
    <mergeCell ref="C21:C23"/>
    <mergeCell ref="C24:C26"/>
    <mergeCell ref="D25:F25"/>
    <mergeCell ref="D26:F26"/>
    <mergeCell ref="D27:F27"/>
    <mergeCell ref="C27:C29"/>
    <mergeCell ref="B61:G61"/>
    <mergeCell ref="H61:I61"/>
    <mergeCell ref="B57:J57"/>
    <mergeCell ref="B60:I60"/>
    <mergeCell ref="B56:J56"/>
    <mergeCell ref="B58:I58"/>
    <mergeCell ref="B59:G59"/>
    <mergeCell ref="H59:I59"/>
    <mergeCell ref="C30:C32"/>
    <mergeCell ref="D30:F30"/>
    <mergeCell ref="D31:F31"/>
    <mergeCell ref="D32:F32"/>
    <mergeCell ref="D28:F28"/>
    <mergeCell ref="D29:F29"/>
    <mergeCell ref="D53:F53"/>
    <mergeCell ref="B42:B53"/>
    <mergeCell ref="C42:C44"/>
    <mergeCell ref="D42:F42"/>
    <mergeCell ref="D43:F43"/>
    <mergeCell ref="D44:F44"/>
    <mergeCell ref="C45:C47"/>
    <mergeCell ref="D45:F45"/>
    <mergeCell ref="D46:F46"/>
    <mergeCell ref="D47:F47"/>
    <mergeCell ref="C48:C50"/>
    <mergeCell ref="D48:F48"/>
    <mergeCell ref="D49:F49"/>
    <mergeCell ref="D50:F50"/>
    <mergeCell ref="C51:C53"/>
    <mergeCell ref="D51:F51"/>
  </mergeCells>
  <phoneticPr fontId="1" type="noConversion"/>
  <conditionalFormatting sqref="D21:J53">
    <cfRule type="expression" dxfId="0" priority="1">
      <formula>$D21=""</formula>
    </cfRule>
  </conditionalFormatting>
  <dataValidations count="1">
    <dataValidation type="list" allowBlank="1" promptTitle="이행 상태" prompt="드롭다운에서 선택" sqref="H21:H53" xr:uid="{C0C349D1-FC4E-44E7-BDDB-D2A2A5FD253B}">
      <formula1>"계획,진행중,완료,보류,N/A"</formula1>
      <formula2>0</formula2>
    </dataValidation>
  </dataValidations>
  <printOptions horizontalCentered="1"/>
  <pageMargins left="0.31496062992125984" right="0.31496062992125984" top="0.51181102362204722" bottom="0.51181102362204722" header="0.51181102362204722" footer="0.51181102362204722"/>
  <pageSetup paperSize="9" scale="87" fitToHeight="0" orientation="portrait" horizontalDpi="300" verticalDpi="300" r:id="rId1"/>
  <rowBreaks count="1" manualBreakCount="1">
    <brk id="37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494C-70E0-470E-B9C7-DACC956B62F8}">
  <sheetPr>
    <tabColor rgb="FFCCFF99"/>
    <pageSetUpPr fitToPage="1"/>
  </sheetPr>
  <dimension ref="A1:I113"/>
  <sheetViews>
    <sheetView showGridLines="0" view="pageBreakPreview" zoomScaleNormal="85" zoomScaleSheetLayoutView="100" workbookViewId="0">
      <pane xSplit="5" ySplit="5" topLeftCell="F6" activePane="bottomRight" state="frozen"/>
      <selection pane="bottomRight" activeCell="A3" sqref="A3"/>
      <selection pane="bottomLeft" activeCell="A3" sqref="A3"/>
      <selection pane="topRight" activeCell="A3" sqref="A3"/>
    </sheetView>
  </sheetViews>
  <sheetFormatPr defaultColWidth="7.625" defaultRowHeight="16.5"/>
  <cols>
    <col min="1" max="1" width="1.75" style="66" customWidth="1"/>
    <col min="2" max="2" width="9.625" style="66" customWidth="1"/>
    <col min="3" max="3" width="10.5" style="66" customWidth="1"/>
    <col min="4" max="4" width="7" style="66" customWidth="1"/>
    <col min="5" max="5" width="10.5" style="66" customWidth="1"/>
    <col min="6" max="6" width="36.75" style="66" customWidth="1"/>
    <col min="7" max="7" width="28" style="66" customWidth="1"/>
    <col min="8" max="8" width="26.25" style="66" customWidth="1"/>
    <col min="9" max="9" width="1.75" style="66" customWidth="1"/>
    <col min="10" max="16384" width="7.625" style="66"/>
  </cols>
  <sheetData>
    <row r="1" spans="1:9" ht="33.75" customHeight="1">
      <c r="A1" s="221" t="s">
        <v>534</v>
      </c>
      <c r="B1" s="221"/>
      <c r="C1" s="221"/>
      <c r="D1" s="221"/>
      <c r="E1" s="221"/>
      <c r="F1" s="221"/>
      <c r="G1" s="221"/>
      <c r="H1" s="221"/>
      <c r="I1" s="221"/>
    </row>
    <row r="2" spans="1:9" ht="19.5" customHeight="1">
      <c r="A2" s="330" t="s">
        <v>535</v>
      </c>
      <c r="B2" s="222"/>
      <c r="C2" s="222"/>
      <c r="D2" s="222"/>
      <c r="E2" s="222"/>
      <c r="F2" s="222"/>
      <c r="G2" s="222"/>
      <c r="H2" s="222"/>
      <c r="I2" s="222"/>
    </row>
    <row r="3" spans="1:9" ht="7.5" customHeight="1"/>
    <row r="4" spans="1:9" ht="75" customHeight="1">
      <c r="A4" s="67"/>
      <c r="B4" s="331" t="s">
        <v>536</v>
      </c>
      <c r="C4" s="332"/>
      <c r="D4" s="332"/>
      <c r="E4" s="332"/>
      <c r="F4" s="332"/>
      <c r="G4" s="332"/>
      <c r="H4" s="332"/>
      <c r="I4" s="67"/>
    </row>
    <row r="5" spans="1:9" s="68" customFormat="1" ht="30" customHeight="1">
      <c r="B5" s="69" t="s">
        <v>311</v>
      </c>
      <c r="C5" s="69" t="s">
        <v>516</v>
      </c>
      <c r="D5" s="69" t="s">
        <v>537</v>
      </c>
      <c r="E5" s="69" t="s">
        <v>538</v>
      </c>
      <c r="F5" s="69" t="s">
        <v>539</v>
      </c>
      <c r="G5" s="69" t="s">
        <v>540</v>
      </c>
      <c r="H5" s="69" t="s">
        <v>541</v>
      </c>
    </row>
    <row r="6" spans="1:9" ht="30" customHeight="1">
      <c r="A6" s="67"/>
      <c r="B6" s="70" t="s">
        <v>542</v>
      </c>
      <c r="C6" s="71" t="s">
        <v>510</v>
      </c>
      <c r="D6" s="72" t="s">
        <v>522</v>
      </c>
      <c r="E6" s="73">
        <v>-3</v>
      </c>
      <c r="F6" s="74" t="s">
        <v>543</v>
      </c>
      <c r="G6" s="74" t="s">
        <v>544</v>
      </c>
      <c r="H6" s="81" t="s">
        <v>545</v>
      </c>
      <c r="I6" s="67"/>
    </row>
    <row r="7" spans="1:9" ht="30" customHeight="1">
      <c r="A7" s="67"/>
      <c r="B7" s="70" t="s">
        <v>546</v>
      </c>
      <c r="C7" s="71" t="s">
        <v>510</v>
      </c>
      <c r="D7" s="72" t="s">
        <v>522</v>
      </c>
      <c r="E7" s="75">
        <v>-2</v>
      </c>
      <c r="F7" s="74" t="s">
        <v>547</v>
      </c>
      <c r="G7" s="74" t="s">
        <v>548</v>
      </c>
      <c r="H7" s="81" t="s">
        <v>549</v>
      </c>
      <c r="I7" s="67"/>
    </row>
    <row r="8" spans="1:9" ht="30" customHeight="1">
      <c r="A8" s="67"/>
      <c r="B8" s="70" t="s">
        <v>550</v>
      </c>
      <c r="C8" s="71" t="s">
        <v>510</v>
      </c>
      <c r="D8" s="72" t="s">
        <v>522</v>
      </c>
      <c r="E8" s="75">
        <v>-2</v>
      </c>
      <c r="F8" s="74" t="s">
        <v>551</v>
      </c>
      <c r="G8" s="74" t="s">
        <v>552</v>
      </c>
      <c r="H8" s="81" t="s">
        <v>553</v>
      </c>
      <c r="I8" s="67"/>
    </row>
    <row r="9" spans="1:9" ht="30" customHeight="1">
      <c r="A9" s="67"/>
      <c r="B9" s="70" t="s">
        <v>554</v>
      </c>
      <c r="C9" s="71" t="s">
        <v>510</v>
      </c>
      <c r="D9" s="72" t="s">
        <v>522</v>
      </c>
      <c r="E9" s="75">
        <v>-2</v>
      </c>
      <c r="F9" s="74" t="s">
        <v>555</v>
      </c>
      <c r="G9" s="74" t="s">
        <v>556</v>
      </c>
      <c r="H9" s="81" t="s">
        <v>557</v>
      </c>
      <c r="I9" s="67"/>
    </row>
    <row r="10" spans="1:9" ht="30" customHeight="1">
      <c r="A10" s="67"/>
      <c r="B10" s="70" t="s">
        <v>558</v>
      </c>
      <c r="C10" s="71" t="s">
        <v>510</v>
      </c>
      <c r="D10" s="72" t="s">
        <v>522</v>
      </c>
      <c r="E10" s="75">
        <v>-2</v>
      </c>
      <c r="F10" s="74" t="s">
        <v>559</v>
      </c>
      <c r="G10" s="74" t="s">
        <v>560</v>
      </c>
      <c r="H10" s="81" t="s">
        <v>561</v>
      </c>
      <c r="I10" s="67"/>
    </row>
    <row r="11" spans="1:9" ht="30" customHeight="1">
      <c r="A11" s="67"/>
      <c r="B11" s="70" t="s">
        <v>562</v>
      </c>
      <c r="C11" s="71" t="s">
        <v>510</v>
      </c>
      <c r="D11" s="72" t="s">
        <v>522</v>
      </c>
      <c r="E11" s="76">
        <v>-1</v>
      </c>
      <c r="F11" s="74" t="s">
        <v>563</v>
      </c>
      <c r="G11" s="74" t="s">
        <v>564</v>
      </c>
      <c r="H11" s="81" t="s">
        <v>565</v>
      </c>
      <c r="I11" s="67"/>
    </row>
    <row r="12" spans="1:9" ht="30" customHeight="1">
      <c r="A12" s="67"/>
      <c r="B12" s="70" t="s">
        <v>566</v>
      </c>
      <c r="C12" s="71" t="s">
        <v>510</v>
      </c>
      <c r="D12" s="72" t="s">
        <v>522</v>
      </c>
      <c r="E12" s="75">
        <v>-2</v>
      </c>
      <c r="F12" s="74" t="s">
        <v>567</v>
      </c>
      <c r="G12" s="74" t="s">
        <v>556</v>
      </c>
      <c r="H12" s="81" t="s">
        <v>568</v>
      </c>
      <c r="I12" s="67"/>
    </row>
    <row r="13" spans="1:9" ht="30" customHeight="1">
      <c r="A13" s="67"/>
      <c r="B13" s="70" t="s">
        <v>569</v>
      </c>
      <c r="C13" s="71" t="s">
        <v>510</v>
      </c>
      <c r="D13" s="72" t="s">
        <v>522</v>
      </c>
      <c r="E13" s="75">
        <v>-2</v>
      </c>
      <c r="F13" s="74" t="s">
        <v>570</v>
      </c>
      <c r="G13" s="74" t="s">
        <v>571</v>
      </c>
      <c r="H13" s="81" t="s">
        <v>572</v>
      </c>
      <c r="I13" s="67"/>
    </row>
    <row r="14" spans="1:9" ht="30" customHeight="1">
      <c r="A14" s="67"/>
      <c r="B14" s="70" t="s">
        <v>573</v>
      </c>
      <c r="C14" s="71" t="s">
        <v>510</v>
      </c>
      <c r="D14" s="72" t="s">
        <v>522</v>
      </c>
      <c r="E14" s="76">
        <v>-1</v>
      </c>
      <c r="F14" s="74" t="s">
        <v>574</v>
      </c>
      <c r="G14" s="74" t="s">
        <v>575</v>
      </c>
      <c r="H14" s="81" t="s">
        <v>576</v>
      </c>
      <c r="I14" s="67"/>
    </row>
    <row r="15" spans="1:9" ht="30" customHeight="1">
      <c r="A15" s="67"/>
      <c r="B15" s="70" t="s">
        <v>577</v>
      </c>
      <c r="C15" s="71" t="s">
        <v>510</v>
      </c>
      <c r="D15" s="72" t="s">
        <v>522</v>
      </c>
      <c r="E15" s="75">
        <v>-2</v>
      </c>
      <c r="F15" s="74" t="s">
        <v>578</v>
      </c>
      <c r="G15" s="74" t="s">
        <v>579</v>
      </c>
      <c r="H15" s="81" t="s">
        <v>580</v>
      </c>
      <c r="I15" s="67"/>
    </row>
    <row r="16" spans="1:9" ht="30" customHeight="1">
      <c r="A16" s="67"/>
      <c r="B16" s="70" t="s">
        <v>581</v>
      </c>
      <c r="C16" s="71" t="s">
        <v>510</v>
      </c>
      <c r="D16" s="72" t="s">
        <v>522</v>
      </c>
      <c r="E16" s="75">
        <v>-2</v>
      </c>
      <c r="F16" s="74" t="s">
        <v>582</v>
      </c>
      <c r="G16" s="74" t="s">
        <v>583</v>
      </c>
      <c r="H16" s="81" t="s">
        <v>584</v>
      </c>
      <c r="I16" s="67"/>
    </row>
    <row r="17" spans="1:9" ht="30" customHeight="1">
      <c r="A17" s="67"/>
      <c r="B17" s="70" t="s">
        <v>585</v>
      </c>
      <c r="C17" s="71" t="s">
        <v>510</v>
      </c>
      <c r="D17" s="72" t="s">
        <v>522</v>
      </c>
      <c r="E17" s="76">
        <v>-1</v>
      </c>
      <c r="F17" s="74" t="s">
        <v>586</v>
      </c>
      <c r="G17" s="74" t="s">
        <v>587</v>
      </c>
      <c r="H17" s="81" t="s">
        <v>588</v>
      </c>
      <c r="I17" s="67"/>
    </row>
    <row r="18" spans="1:9" ht="30" customHeight="1">
      <c r="A18" s="67"/>
      <c r="B18" s="70" t="s">
        <v>589</v>
      </c>
      <c r="C18" s="71" t="s">
        <v>510</v>
      </c>
      <c r="D18" s="72" t="s">
        <v>523</v>
      </c>
      <c r="E18" s="75">
        <v>-2</v>
      </c>
      <c r="F18" s="74" t="s">
        <v>590</v>
      </c>
      <c r="G18" s="74" t="s">
        <v>591</v>
      </c>
      <c r="H18" s="81" t="s">
        <v>592</v>
      </c>
      <c r="I18" s="67"/>
    </row>
    <row r="19" spans="1:9" ht="30" customHeight="1">
      <c r="A19" s="67"/>
      <c r="B19" s="70" t="s">
        <v>593</v>
      </c>
      <c r="C19" s="71" t="s">
        <v>510</v>
      </c>
      <c r="D19" s="72" t="s">
        <v>523</v>
      </c>
      <c r="E19" s="75">
        <v>-2</v>
      </c>
      <c r="F19" s="74" t="s">
        <v>594</v>
      </c>
      <c r="G19" s="74" t="s">
        <v>595</v>
      </c>
      <c r="H19" s="81" t="s">
        <v>596</v>
      </c>
      <c r="I19" s="67"/>
    </row>
    <row r="20" spans="1:9" ht="30" customHeight="1">
      <c r="A20" s="67"/>
      <c r="B20" s="70" t="s">
        <v>597</v>
      </c>
      <c r="C20" s="71" t="s">
        <v>510</v>
      </c>
      <c r="D20" s="72" t="s">
        <v>523</v>
      </c>
      <c r="E20" s="75">
        <v>-2</v>
      </c>
      <c r="F20" s="74" t="s">
        <v>598</v>
      </c>
      <c r="G20" s="74" t="s">
        <v>599</v>
      </c>
      <c r="H20" s="81" t="s">
        <v>600</v>
      </c>
      <c r="I20" s="67"/>
    </row>
    <row r="21" spans="1:9" ht="30" customHeight="1">
      <c r="A21" s="67"/>
      <c r="B21" s="70" t="s">
        <v>601</v>
      </c>
      <c r="C21" s="71" t="s">
        <v>510</v>
      </c>
      <c r="D21" s="72" t="s">
        <v>523</v>
      </c>
      <c r="E21" s="75">
        <v>-2</v>
      </c>
      <c r="F21" s="74" t="s">
        <v>602</v>
      </c>
      <c r="G21" s="74" t="s">
        <v>603</v>
      </c>
      <c r="H21" s="81" t="s">
        <v>604</v>
      </c>
      <c r="I21" s="67"/>
    </row>
    <row r="22" spans="1:9" ht="30" customHeight="1">
      <c r="A22" s="67"/>
      <c r="B22" s="70" t="s">
        <v>605</v>
      </c>
      <c r="C22" s="71" t="s">
        <v>510</v>
      </c>
      <c r="D22" s="72" t="s">
        <v>523</v>
      </c>
      <c r="E22" s="76">
        <v>-1</v>
      </c>
      <c r="F22" s="74" t="s">
        <v>606</v>
      </c>
      <c r="G22" s="74" t="s">
        <v>607</v>
      </c>
      <c r="H22" s="81" t="s">
        <v>608</v>
      </c>
      <c r="I22" s="67"/>
    </row>
    <row r="23" spans="1:9" ht="30" customHeight="1">
      <c r="A23" s="67"/>
      <c r="B23" s="70" t="s">
        <v>609</v>
      </c>
      <c r="C23" s="71" t="s">
        <v>510</v>
      </c>
      <c r="D23" s="72" t="s">
        <v>523</v>
      </c>
      <c r="E23" s="76">
        <v>-1</v>
      </c>
      <c r="F23" s="74" t="s">
        <v>610</v>
      </c>
      <c r="G23" s="74" t="s">
        <v>611</v>
      </c>
      <c r="H23" s="81" t="s">
        <v>612</v>
      </c>
      <c r="I23" s="67"/>
    </row>
    <row r="24" spans="1:9" ht="30" customHeight="1">
      <c r="A24" s="67"/>
      <c r="B24" s="70" t="s">
        <v>613</v>
      </c>
      <c r="C24" s="71" t="s">
        <v>510</v>
      </c>
      <c r="D24" s="72" t="s">
        <v>523</v>
      </c>
      <c r="E24" s="76">
        <v>-1</v>
      </c>
      <c r="F24" s="74" t="s">
        <v>614</v>
      </c>
      <c r="G24" s="74" t="s">
        <v>607</v>
      </c>
      <c r="H24" s="81" t="s">
        <v>615</v>
      </c>
      <c r="I24" s="67"/>
    </row>
    <row r="25" spans="1:9" ht="30" customHeight="1">
      <c r="A25" s="67"/>
      <c r="B25" s="70" t="s">
        <v>616</v>
      </c>
      <c r="C25" s="71" t="s">
        <v>510</v>
      </c>
      <c r="D25" s="72" t="s">
        <v>524</v>
      </c>
      <c r="E25" s="75">
        <v>-2</v>
      </c>
      <c r="F25" s="74" t="s">
        <v>617</v>
      </c>
      <c r="G25" s="74" t="s">
        <v>556</v>
      </c>
      <c r="H25" s="81" t="s">
        <v>618</v>
      </c>
      <c r="I25" s="67"/>
    </row>
    <row r="26" spans="1:9" ht="30" customHeight="1">
      <c r="A26" s="67"/>
      <c r="B26" s="70" t="s">
        <v>619</v>
      </c>
      <c r="C26" s="71" t="s">
        <v>510</v>
      </c>
      <c r="D26" s="72" t="s">
        <v>524</v>
      </c>
      <c r="E26" s="75">
        <v>-2</v>
      </c>
      <c r="F26" s="74" t="s">
        <v>620</v>
      </c>
      <c r="G26" s="74" t="s">
        <v>621</v>
      </c>
      <c r="H26" s="81" t="s">
        <v>622</v>
      </c>
      <c r="I26" s="67"/>
    </row>
    <row r="27" spans="1:9" ht="30" customHeight="1">
      <c r="A27" s="67"/>
      <c r="B27" s="70" t="s">
        <v>623</v>
      </c>
      <c r="C27" s="71" t="s">
        <v>510</v>
      </c>
      <c r="D27" s="72" t="s">
        <v>524</v>
      </c>
      <c r="E27" s="76">
        <v>-1</v>
      </c>
      <c r="F27" s="74" t="s">
        <v>624</v>
      </c>
      <c r="G27" s="74" t="s">
        <v>625</v>
      </c>
      <c r="H27" s="81" t="s">
        <v>626</v>
      </c>
      <c r="I27" s="67"/>
    </row>
    <row r="28" spans="1:9" ht="30" customHeight="1">
      <c r="A28" s="67"/>
      <c r="B28" s="70" t="s">
        <v>627</v>
      </c>
      <c r="C28" s="71" t="s">
        <v>510</v>
      </c>
      <c r="D28" s="72" t="s">
        <v>524</v>
      </c>
      <c r="E28" s="76">
        <v>-1</v>
      </c>
      <c r="F28" s="74" t="s">
        <v>628</v>
      </c>
      <c r="G28" s="74" t="s">
        <v>629</v>
      </c>
      <c r="H28" s="81" t="s">
        <v>630</v>
      </c>
      <c r="I28" s="67"/>
    </row>
    <row r="29" spans="1:9" ht="30" customHeight="1">
      <c r="A29" s="67"/>
      <c r="B29" s="70" t="s">
        <v>631</v>
      </c>
      <c r="C29" s="71" t="s">
        <v>510</v>
      </c>
      <c r="D29" s="72" t="s">
        <v>524</v>
      </c>
      <c r="E29" s="76">
        <v>-1</v>
      </c>
      <c r="F29" s="74" t="s">
        <v>632</v>
      </c>
      <c r="G29" s="74" t="s">
        <v>633</v>
      </c>
      <c r="H29" s="81" t="s">
        <v>634</v>
      </c>
      <c r="I29" s="67"/>
    </row>
    <row r="30" spans="1:9" ht="30" customHeight="1">
      <c r="A30" s="67"/>
      <c r="B30" s="70" t="s">
        <v>635</v>
      </c>
      <c r="C30" s="71" t="s">
        <v>510</v>
      </c>
      <c r="D30" s="72" t="s">
        <v>524</v>
      </c>
      <c r="E30" s="76">
        <v>-1</v>
      </c>
      <c r="F30" s="74" t="s">
        <v>636</v>
      </c>
      <c r="G30" s="74" t="s">
        <v>637</v>
      </c>
      <c r="H30" s="81" t="s">
        <v>638</v>
      </c>
      <c r="I30" s="67"/>
    </row>
    <row r="31" spans="1:9" ht="30" customHeight="1">
      <c r="A31" s="67"/>
      <c r="B31" s="70" t="s">
        <v>639</v>
      </c>
      <c r="C31" s="71" t="s">
        <v>510</v>
      </c>
      <c r="D31" s="72" t="s">
        <v>640</v>
      </c>
      <c r="E31" s="76">
        <v>-1</v>
      </c>
      <c r="F31" s="74" t="s">
        <v>641</v>
      </c>
      <c r="G31" s="74" t="s">
        <v>629</v>
      </c>
      <c r="H31" s="81" t="s">
        <v>642</v>
      </c>
      <c r="I31" s="67"/>
    </row>
    <row r="32" spans="1:9" ht="30" customHeight="1">
      <c r="A32" s="67"/>
      <c r="B32" s="70" t="s">
        <v>643</v>
      </c>
      <c r="C32" s="71" t="s">
        <v>510</v>
      </c>
      <c r="D32" s="72" t="s">
        <v>640</v>
      </c>
      <c r="E32" s="76">
        <v>-1</v>
      </c>
      <c r="F32" s="74" t="s">
        <v>644</v>
      </c>
      <c r="G32" s="74" t="s">
        <v>645</v>
      </c>
      <c r="H32" s="81" t="s">
        <v>646</v>
      </c>
      <c r="I32" s="67"/>
    </row>
    <row r="33" spans="1:9" ht="30" customHeight="1">
      <c r="A33" s="67"/>
      <c r="B33" s="70" t="s">
        <v>647</v>
      </c>
      <c r="C33" s="71" t="s">
        <v>510</v>
      </c>
      <c r="D33" s="72" t="s">
        <v>640</v>
      </c>
      <c r="E33" s="76">
        <v>-1</v>
      </c>
      <c r="F33" s="74" t="s">
        <v>648</v>
      </c>
      <c r="G33" s="74" t="s">
        <v>649</v>
      </c>
      <c r="H33" s="81" t="s">
        <v>650</v>
      </c>
      <c r="I33" s="67"/>
    </row>
    <row r="34" spans="1:9" ht="30" customHeight="1">
      <c r="A34" s="67"/>
      <c r="B34" s="77" t="s">
        <v>651</v>
      </c>
      <c r="C34" s="78" t="s">
        <v>652</v>
      </c>
      <c r="D34" s="72" t="s">
        <v>522</v>
      </c>
      <c r="E34" s="73">
        <v>-3</v>
      </c>
      <c r="F34" s="74" t="s">
        <v>653</v>
      </c>
      <c r="G34" s="74" t="s">
        <v>654</v>
      </c>
      <c r="H34" s="81" t="s">
        <v>655</v>
      </c>
      <c r="I34" s="67"/>
    </row>
    <row r="35" spans="1:9" ht="30" customHeight="1">
      <c r="A35" s="67"/>
      <c r="B35" s="77" t="s">
        <v>656</v>
      </c>
      <c r="C35" s="78" t="s">
        <v>652</v>
      </c>
      <c r="D35" s="72" t="s">
        <v>522</v>
      </c>
      <c r="E35" s="75">
        <v>-2</v>
      </c>
      <c r="F35" s="74" t="s">
        <v>657</v>
      </c>
      <c r="G35" s="74" t="s">
        <v>658</v>
      </c>
      <c r="H35" s="81" t="s">
        <v>659</v>
      </c>
      <c r="I35" s="67"/>
    </row>
    <row r="36" spans="1:9" ht="30" customHeight="1">
      <c r="A36" s="67"/>
      <c r="B36" s="77" t="s">
        <v>660</v>
      </c>
      <c r="C36" s="78" t="s">
        <v>652</v>
      </c>
      <c r="D36" s="72" t="s">
        <v>522</v>
      </c>
      <c r="E36" s="75">
        <v>-2</v>
      </c>
      <c r="F36" s="74" t="s">
        <v>661</v>
      </c>
      <c r="G36" s="74" t="s">
        <v>662</v>
      </c>
      <c r="H36" s="81" t="s">
        <v>663</v>
      </c>
      <c r="I36" s="67"/>
    </row>
    <row r="37" spans="1:9" ht="30" customHeight="1">
      <c r="A37" s="67"/>
      <c r="B37" s="77" t="s">
        <v>664</v>
      </c>
      <c r="C37" s="78" t="s">
        <v>652</v>
      </c>
      <c r="D37" s="72" t="s">
        <v>522</v>
      </c>
      <c r="E37" s="75">
        <v>-2</v>
      </c>
      <c r="F37" s="74" t="s">
        <v>665</v>
      </c>
      <c r="G37" s="74" t="s">
        <v>666</v>
      </c>
      <c r="H37" s="81" t="s">
        <v>667</v>
      </c>
      <c r="I37" s="67"/>
    </row>
    <row r="38" spans="1:9" ht="30" customHeight="1">
      <c r="A38" s="67"/>
      <c r="B38" s="77" t="s">
        <v>668</v>
      </c>
      <c r="C38" s="78" t="s">
        <v>652</v>
      </c>
      <c r="D38" s="72" t="s">
        <v>522</v>
      </c>
      <c r="E38" s="75">
        <v>-2</v>
      </c>
      <c r="F38" s="74" t="s">
        <v>669</v>
      </c>
      <c r="G38" s="74" t="s">
        <v>670</v>
      </c>
      <c r="H38" s="81" t="s">
        <v>671</v>
      </c>
      <c r="I38" s="67"/>
    </row>
    <row r="39" spans="1:9" ht="30" customHeight="1">
      <c r="A39" s="67"/>
      <c r="B39" s="77" t="s">
        <v>672</v>
      </c>
      <c r="C39" s="78" t="s">
        <v>652</v>
      </c>
      <c r="D39" s="72" t="s">
        <v>522</v>
      </c>
      <c r="E39" s="75">
        <v>-2</v>
      </c>
      <c r="F39" s="74" t="s">
        <v>673</v>
      </c>
      <c r="G39" s="74" t="s">
        <v>674</v>
      </c>
      <c r="H39" s="81" t="s">
        <v>675</v>
      </c>
      <c r="I39" s="67"/>
    </row>
    <row r="40" spans="1:9" ht="30" customHeight="1">
      <c r="A40" s="67"/>
      <c r="B40" s="77" t="s">
        <v>676</v>
      </c>
      <c r="C40" s="78" t="s">
        <v>652</v>
      </c>
      <c r="D40" s="72" t="s">
        <v>522</v>
      </c>
      <c r="E40" s="75">
        <v>-2</v>
      </c>
      <c r="F40" s="74" t="s">
        <v>677</v>
      </c>
      <c r="G40" s="74" t="s">
        <v>678</v>
      </c>
      <c r="H40" s="81" t="s">
        <v>679</v>
      </c>
      <c r="I40" s="67"/>
    </row>
    <row r="41" spans="1:9" ht="30" customHeight="1">
      <c r="A41" s="67"/>
      <c r="B41" s="77" t="s">
        <v>680</v>
      </c>
      <c r="C41" s="78" t="s">
        <v>652</v>
      </c>
      <c r="D41" s="72" t="s">
        <v>522</v>
      </c>
      <c r="E41" s="76">
        <v>-1</v>
      </c>
      <c r="F41" s="74" t="s">
        <v>681</v>
      </c>
      <c r="G41" s="74" t="s">
        <v>682</v>
      </c>
      <c r="H41" s="81" t="s">
        <v>683</v>
      </c>
      <c r="I41" s="67"/>
    </row>
    <row r="42" spans="1:9" ht="30" customHeight="1">
      <c r="A42" s="67"/>
      <c r="B42" s="77" t="s">
        <v>684</v>
      </c>
      <c r="C42" s="78" t="s">
        <v>652</v>
      </c>
      <c r="D42" s="72" t="s">
        <v>522</v>
      </c>
      <c r="E42" s="76">
        <v>-1</v>
      </c>
      <c r="F42" s="74" t="s">
        <v>685</v>
      </c>
      <c r="G42" s="74" t="s">
        <v>686</v>
      </c>
      <c r="H42" s="81" t="s">
        <v>687</v>
      </c>
      <c r="I42" s="67"/>
    </row>
    <row r="43" spans="1:9" ht="30" customHeight="1">
      <c r="A43" s="67"/>
      <c r="B43" s="77" t="s">
        <v>688</v>
      </c>
      <c r="C43" s="78" t="s">
        <v>652</v>
      </c>
      <c r="D43" s="72" t="s">
        <v>522</v>
      </c>
      <c r="E43" s="76">
        <v>-1</v>
      </c>
      <c r="F43" s="74" t="s">
        <v>689</v>
      </c>
      <c r="G43" s="74" t="s">
        <v>690</v>
      </c>
      <c r="H43" s="81" t="s">
        <v>691</v>
      </c>
      <c r="I43" s="67"/>
    </row>
    <row r="44" spans="1:9" ht="30" customHeight="1">
      <c r="A44" s="67"/>
      <c r="B44" s="77" t="s">
        <v>692</v>
      </c>
      <c r="C44" s="78" t="s">
        <v>652</v>
      </c>
      <c r="D44" s="72" t="s">
        <v>522</v>
      </c>
      <c r="E44" s="76">
        <v>-1</v>
      </c>
      <c r="F44" s="74" t="s">
        <v>693</v>
      </c>
      <c r="G44" s="74" t="s">
        <v>694</v>
      </c>
      <c r="H44" s="81" t="s">
        <v>695</v>
      </c>
      <c r="I44" s="67"/>
    </row>
    <row r="45" spans="1:9" ht="30" customHeight="1">
      <c r="A45" s="67"/>
      <c r="B45" s="77" t="s">
        <v>696</v>
      </c>
      <c r="C45" s="78" t="s">
        <v>652</v>
      </c>
      <c r="D45" s="72" t="s">
        <v>522</v>
      </c>
      <c r="E45" s="76">
        <v>-1</v>
      </c>
      <c r="F45" s="74" t="s">
        <v>697</v>
      </c>
      <c r="G45" s="74" t="s">
        <v>698</v>
      </c>
      <c r="H45" s="81" t="s">
        <v>699</v>
      </c>
      <c r="I45" s="67"/>
    </row>
    <row r="46" spans="1:9" ht="30" customHeight="1">
      <c r="A46" s="67"/>
      <c r="B46" s="77" t="s">
        <v>700</v>
      </c>
      <c r="C46" s="78" t="s">
        <v>652</v>
      </c>
      <c r="D46" s="72" t="s">
        <v>522</v>
      </c>
      <c r="E46" s="76">
        <v>-1</v>
      </c>
      <c r="F46" s="74" t="s">
        <v>701</v>
      </c>
      <c r="G46" s="74" t="s">
        <v>702</v>
      </c>
      <c r="H46" s="81" t="s">
        <v>703</v>
      </c>
      <c r="I46" s="67"/>
    </row>
    <row r="47" spans="1:9" ht="30" customHeight="1">
      <c r="A47" s="67"/>
      <c r="B47" s="77" t="s">
        <v>704</v>
      </c>
      <c r="C47" s="78" t="s">
        <v>652</v>
      </c>
      <c r="D47" s="72" t="s">
        <v>522</v>
      </c>
      <c r="E47" s="75">
        <v>-2</v>
      </c>
      <c r="F47" s="74" t="s">
        <v>705</v>
      </c>
      <c r="G47" s="74" t="s">
        <v>678</v>
      </c>
      <c r="H47" s="81" t="s">
        <v>706</v>
      </c>
      <c r="I47" s="67"/>
    </row>
    <row r="48" spans="1:9" ht="30" customHeight="1">
      <c r="A48" s="67"/>
      <c r="B48" s="77" t="s">
        <v>707</v>
      </c>
      <c r="C48" s="78" t="s">
        <v>652</v>
      </c>
      <c r="D48" s="72" t="s">
        <v>523</v>
      </c>
      <c r="E48" s="75">
        <v>-2</v>
      </c>
      <c r="F48" s="74" t="s">
        <v>708</v>
      </c>
      <c r="G48" s="74" t="s">
        <v>709</v>
      </c>
      <c r="H48" s="81" t="s">
        <v>710</v>
      </c>
      <c r="I48" s="67"/>
    </row>
    <row r="49" spans="1:9" ht="30" customHeight="1">
      <c r="A49" s="67"/>
      <c r="B49" s="77" t="s">
        <v>711</v>
      </c>
      <c r="C49" s="78" t="s">
        <v>652</v>
      </c>
      <c r="D49" s="72" t="s">
        <v>523</v>
      </c>
      <c r="E49" s="76">
        <v>-1</v>
      </c>
      <c r="F49" s="74" t="s">
        <v>712</v>
      </c>
      <c r="G49" s="74" t="s">
        <v>686</v>
      </c>
      <c r="H49" s="81" t="s">
        <v>713</v>
      </c>
      <c r="I49" s="67"/>
    </row>
    <row r="50" spans="1:9" ht="30" customHeight="1">
      <c r="A50" s="67"/>
      <c r="B50" s="77" t="s">
        <v>714</v>
      </c>
      <c r="C50" s="78" t="s">
        <v>652</v>
      </c>
      <c r="D50" s="72" t="s">
        <v>523</v>
      </c>
      <c r="E50" s="75">
        <v>-2</v>
      </c>
      <c r="F50" s="74" t="s">
        <v>715</v>
      </c>
      <c r="G50" s="74" t="s">
        <v>678</v>
      </c>
      <c r="H50" s="81" t="s">
        <v>716</v>
      </c>
      <c r="I50" s="67"/>
    </row>
    <row r="51" spans="1:9" ht="30" customHeight="1">
      <c r="A51" s="67"/>
      <c r="B51" s="77" t="s">
        <v>717</v>
      </c>
      <c r="C51" s="78" t="s">
        <v>652</v>
      </c>
      <c r="D51" s="72" t="s">
        <v>523</v>
      </c>
      <c r="E51" s="76">
        <v>-1</v>
      </c>
      <c r="F51" s="74" t="s">
        <v>718</v>
      </c>
      <c r="G51" s="74" t="s">
        <v>686</v>
      </c>
      <c r="H51" s="81" t="s">
        <v>719</v>
      </c>
      <c r="I51" s="67"/>
    </row>
    <row r="52" spans="1:9" ht="30" customHeight="1">
      <c r="A52" s="67"/>
      <c r="B52" s="77" t="s">
        <v>720</v>
      </c>
      <c r="C52" s="78" t="s">
        <v>652</v>
      </c>
      <c r="D52" s="72" t="s">
        <v>523</v>
      </c>
      <c r="E52" s="75">
        <v>-2</v>
      </c>
      <c r="F52" s="74" t="s">
        <v>721</v>
      </c>
      <c r="G52" s="74" t="s">
        <v>722</v>
      </c>
      <c r="H52" s="81" t="s">
        <v>723</v>
      </c>
      <c r="I52" s="67"/>
    </row>
    <row r="53" spans="1:9" ht="30" customHeight="1">
      <c r="A53" s="67"/>
      <c r="B53" s="77" t="s">
        <v>724</v>
      </c>
      <c r="C53" s="78" t="s">
        <v>652</v>
      </c>
      <c r="D53" s="72" t="s">
        <v>523</v>
      </c>
      <c r="E53" s="76">
        <v>-1</v>
      </c>
      <c r="F53" s="74" t="s">
        <v>725</v>
      </c>
      <c r="G53" s="74" t="s">
        <v>694</v>
      </c>
      <c r="H53" s="81" t="s">
        <v>726</v>
      </c>
      <c r="I53" s="67"/>
    </row>
    <row r="54" spans="1:9" ht="30" customHeight="1">
      <c r="A54" s="67"/>
      <c r="B54" s="77" t="s">
        <v>727</v>
      </c>
      <c r="C54" s="78" t="s">
        <v>652</v>
      </c>
      <c r="D54" s="72" t="s">
        <v>523</v>
      </c>
      <c r="E54" s="76">
        <v>-1</v>
      </c>
      <c r="F54" s="74" t="s">
        <v>728</v>
      </c>
      <c r="G54" s="74" t="s">
        <v>678</v>
      </c>
      <c r="H54" s="81" t="s">
        <v>729</v>
      </c>
      <c r="I54" s="67"/>
    </row>
    <row r="55" spans="1:9" ht="30" customHeight="1">
      <c r="A55" s="67"/>
      <c r="B55" s="77" t="s">
        <v>730</v>
      </c>
      <c r="C55" s="78" t="s">
        <v>652</v>
      </c>
      <c r="D55" s="72" t="s">
        <v>524</v>
      </c>
      <c r="E55" s="75">
        <v>-2</v>
      </c>
      <c r="F55" s="74" t="s">
        <v>731</v>
      </c>
      <c r="G55" s="74" t="s">
        <v>732</v>
      </c>
      <c r="H55" s="81" t="s">
        <v>733</v>
      </c>
      <c r="I55" s="67"/>
    </row>
    <row r="56" spans="1:9" ht="30" customHeight="1">
      <c r="A56" s="67"/>
      <c r="B56" s="77" t="s">
        <v>734</v>
      </c>
      <c r="C56" s="78" t="s">
        <v>652</v>
      </c>
      <c r="D56" s="72" t="s">
        <v>524</v>
      </c>
      <c r="E56" s="76">
        <v>-1</v>
      </c>
      <c r="F56" s="74" t="s">
        <v>735</v>
      </c>
      <c r="G56" s="74" t="s">
        <v>625</v>
      </c>
      <c r="H56" s="81" t="s">
        <v>736</v>
      </c>
      <c r="I56" s="67"/>
    </row>
    <row r="57" spans="1:9" ht="30" customHeight="1">
      <c r="A57" s="67"/>
      <c r="B57" s="77" t="s">
        <v>737</v>
      </c>
      <c r="C57" s="78" t="s">
        <v>652</v>
      </c>
      <c r="D57" s="72" t="s">
        <v>524</v>
      </c>
      <c r="E57" s="76">
        <v>-1</v>
      </c>
      <c r="F57" s="74" t="s">
        <v>738</v>
      </c>
      <c r="G57" s="74" t="s">
        <v>678</v>
      </c>
      <c r="H57" s="81" t="s">
        <v>739</v>
      </c>
      <c r="I57" s="67"/>
    </row>
    <row r="58" spans="1:9" ht="30" customHeight="1">
      <c r="A58" s="67"/>
      <c r="B58" s="77" t="s">
        <v>740</v>
      </c>
      <c r="C58" s="78" t="s">
        <v>652</v>
      </c>
      <c r="D58" s="72" t="s">
        <v>524</v>
      </c>
      <c r="E58" s="76">
        <v>-1</v>
      </c>
      <c r="F58" s="74" t="s">
        <v>741</v>
      </c>
      <c r="G58" s="74" t="s">
        <v>742</v>
      </c>
      <c r="H58" s="81" t="s">
        <v>743</v>
      </c>
      <c r="I58" s="67"/>
    </row>
    <row r="59" spans="1:9" ht="30" customHeight="1">
      <c r="A59" s="67"/>
      <c r="B59" s="77" t="s">
        <v>744</v>
      </c>
      <c r="C59" s="78" t="s">
        <v>652</v>
      </c>
      <c r="D59" s="72" t="s">
        <v>524</v>
      </c>
      <c r="E59" s="76">
        <v>-1</v>
      </c>
      <c r="F59" s="74" t="s">
        <v>745</v>
      </c>
      <c r="G59" s="74" t="s">
        <v>709</v>
      </c>
      <c r="H59" s="81" t="s">
        <v>746</v>
      </c>
      <c r="I59" s="67"/>
    </row>
    <row r="60" spans="1:9" ht="30" customHeight="1">
      <c r="A60" s="67"/>
      <c r="B60" s="77" t="s">
        <v>747</v>
      </c>
      <c r="C60" s="78" t="s">
        <v>652</v>
      </c>
      <c r="D60" s="72" t="s">
        <v>524</v>
      </c>
      <c r="E60" s="76">
        <v>-1</v>
      </c>
      <c r="F60" s="74" t="s">
        <v>748</v>
      </c>
      <c r="G60" s="74" t="s">
        <v>749</v>
      </c>
      <c r="H60" s="81" t="s">
        <v>750</v>
      </c>
      <c r="I60" s="67"/>
    </row>
    <row r="61" spans="1:9" ht="30" customHeight="1">
      <c r="A61" s="67"/>
      <c r="B61" s="77" t="s">
        <v>751</v>
      </c>
      <c r="C61" s="78" t="s">
        <v>652</v>
      </c>
      <c r="D61" s="72" t="s">
        <v>524</v>
      </c>
      <c r="E61" s="76">
        <v>-1</v>
      </c>
      <c r="F61" s="74" t="s">
        <v>752</v>
      </c>
      <c r="G61" s="74" t="s">
        <v>753</v>
      </c>
      <c r="H61" s="81" t="s">
        <v>754</v>
      </c>
      <c r="I61" s="67"/>
    </row>
    <row r="62" spans="1:9" ht="30" customHeight="1">
      <c r="A62" s="67"/>
      <c r="B62" s="79" t="s">
        <v>755</v>
      </c>
      <c r="C62" s="80" t="s">
        <v>756</v>
      </c>
      <c r="D62" s="72" t="s">
        <v>522</v>
      </c>
      <c r="E62" s="73">
        <v>-3</v>
      </c>
      <c r="F62" s="74" t="s">
        <v>757</v>
      </c>
      <c r="G62" s="74" t="s">
        <v>758</v>
      </c>
      <c r="H62" s="81" t="s">
        <v>759</v>
      </c>
      <c r="I62" s="67"/>
    </row>
    <row r="63" spans="1:9" ht="30" customHeight="1">
      <c r="A63" s="67"/>
      <c r="B63" s="79" t="s">
        <v>760</v>
      </c>
      <c r="C63" s="80" t="s">
        <v>756</v>
      </c>
      <c r="D63" s="72" t="s">
        <v>522</v>
      </c>
      <c r="E63" s="75">
        <v>-2</v>
      </c>
      <c r="F63" s="74" t="s">
        <v>761</v>
      </c>
      <c r="G63" s="74" t="s">
        <v>762</v>
      </c>
      <c r="H63" s="81" t="s">
        <v>763</v>
      </c>
      <c r="I63" s="67"/>
    </row>
    <row r="64" spans="1:9" ht="30" customHeight="1">
      <c r="A64" s="67"/>
      <c r="B64" s="79" t="s">
        <v>764</v>
      </c>
      <c r="C64" s="80" t="s">
        <v>756</v>
      </c>
      <c r="D64" s="72" t="s">
        <v>522</v>
      </c>
      <c r="E64" s="75">
        <v>-2</v>
      </c>
      <c r="F64" s="74" t="s">
        <v>765</v>
      </c>
      <c r="G64" s="74" t="s">
        <v>766</v>
      </c>
      <c r="H64" s="81" t="s">
        <v>767</v>
      </c>
      <c r="I64" s="67"/>
    </row>
    <row r="65" spans="1:9" ht="30" customHeight="1">
      <c r="A65" s="67"/>
      <c r="B65" s="79" t="s">
        <v>768</v>
      </c>
      <c r="C65" s="80" t="s">
        <v>756</v>
      </c>
      <c r="D65" s="72" t="s">
        <v>522</v>
      </c>
      <c r="E65" s="75">
        <v>-2</v>
      </c>
      <c r="F65" s="74" t="s">
        <v>769</v>
      </c>
      <c r="G65" s="74" t="s">
        <v>770</v>
      </c>
      <c r="H65" s="81" t="s">
        <v>771</v>
      </c>
      <c r="I65" s="67"/>
    </row>
    <row r="66" spans="1:9" ht="30" customHeight="1">
      <c r="A66" s="67"/>
      <c r="B66" s="79" t="s">
        <v>772</v>
      </c>
      <c r="C66" s="80" t="s">
        <v>756</v>
      </c>
      <c r="D66" s="72" t="s">
        <v>522</v>
      </c>
      <c r="E66" s="75">
        <v>-2</v>
      </c>
      <c r="F66" s="74" t="s">
        <v>773</v>
      </c>
      <c r="G66" s="74" t="s">
        <v>774</v>
      </c>
      <c r="H66" s="81" t="s">
        <v>775</v>
      </c>
      <c r="I66" s="67"/>
    </row>
    <row r="67" spans="1:9" ht="30" customHeight="1">
      <c r="A67" s="67"/>
      <c r="B67" s="79" t="s">
        <v>776</v>
      </c>
      <c r="C67" s="80" t="s">
        <v>756</v>
      </c>
      <c r="D67" s="72" t="s">
        <v>522</v>
      </c>
      <c r="E67" s="76">
        <v>-1</v>
      </c>
      <c r="F67" s="74" t="s">
        <v>777</v>
      </c>
      <c r="G67" s="74" t="s">
        <v>778</v>
      </c>
      <c r="H67" s="81" t="s">
        <v>779</v>
      </c>
      <c r="I67" s="67"/>
    </row>
    <row r="68" spans="1:9" ht="30" customHeight="1">
      <c r="A68" s="67"/>
      <c r="B68" s="79" t="s">
        <v>780</v>
      </c>
      <c r="C68" s="80" t="s">
        <v>756</v>
      </c>
      <c r="D68" s="72" t="s">
        <v>522</v>
      </c>
      <c r="E68" s="76">
        <v>-1</v>
      </c>
      <c r="F68" s="74" t="s">
        <v>781</v>
      </c>
      <c r="G68" s="74" t="s">
        <v>782</v>
      </c>
      <c r="H68" s="81" t="s">
        <v>783</v>
      </c>
      <c r="I68" s="67"/>
    </row>
    <row r="69" spans="1:9" ht="30" customHeight="1">
      <c r="A69" s="67"/>
      <c r="B69" s="79" t="s">
        <v>784</v>
      </c>
      <c r="C69" s="80" t="s">
        <v>756</v>
      </c>
      <c r="D69" s="72" t="s">
        <v>522</v>
      </c>
      <c r="E69" s="76">
        <v>-1</v>
      </c>
      <c r="F69" s="74" t="s">
        <v>785</v>
      </c>
      <c r="G69" s="74" t="s">
        <v>786</v>
      </c>
      <c r="H69" s="81" t="s">
        <v>787</v>
      </c>
      <c r="I69" s="67"/>
    </row>
    <row r="70" spans="1:9" ht="30" customHeight="1">
      <c r="A70" s="67"/>
      <c r="B70" s="79" t="s">
        <v>788</v>
      </c>
      <c r="C70" s="80" t="s">
        <v>756</v>
      </c>
      <c r="D70" s="72" t="s">
        <v>522</v>
      </c>
      <c r="E70" s="75">
        <v>-2</v>
      </c>
      <c r="F70" s="74" t="s">
        <v>789</v>
      </c>
      <c r="G70" s="74" t="s">
        <v>790</v>
      </c>
      <c r="H70" s="81" t="s">
        <v>791</v>
      </c>
      <c r="I70" s="67"/>
    </row>
    <row r="71" spans="1:9" ht="30" customHeight="1">
      <c r="A71" s="67"/>
      <c r="B71" s="79" t="s">
        <v>792</v>
      </c>
      <c r="C71" s="80" t="s">
        <v>756</v>
      </c>
      <c r="D71" s="72" t="s">
        <v>522</v>
      </c>
      <c r="E71" s="76">
        <v>-1</v>
      </c>
      <c r="F71" s="74" t="s">
        <v>793</v>
      </c>
      <c r="G71" s="74" t="s">
        <v>794</v>
      </c>
      <c r="H71" s="81" t="s">
        <v>795</v>
      </c>
      <c r="I71" s="67"/>
    </row>
    <row r="72" spans="1:9" ht="30" customHeight="1">
      <c r="A72" s="67"/>
      <c r="B72" s="79" t="s">
        <v>796</v>
      </c>
      <c r="C72" s="80" t="s">
        <v>756</v>
      </c>
      <c r="D72" s="72" t="s">
        <v>522</v>
      </c>
      <c r="E72" s="76">
        <v>-1</v>
      </c>
      <c r="F72" s="74" t="s">
        <v>797</v>
      </c>
      <c r="G72" s="74" t="s">
        <v>798</v>
      </c>
      <c r="H72" s="81" t="s">
        <v>799</v>
      </c>
      <c r="I72" s="67"/>
    </row>
    <row r="73" spans="1:9" ht="30" customHeight="1">
      <c r="A73" s="67"/>
      <c r="B73" s="79" t="s">
        <v>800</v>
      </c>
      <c r="C73" s="80" t="s">
        <v>756</v>
      </c>
      <c r="D73" s="72" t="s">
        <v>522</v>
      </c>
      <c r="E73" s="76">
        <v>-1</v>
      </c>
      <c r="F73" s="74" t="s">
        <v>801</v>
      </c>
      <c r="G73" s="74" t="s">
        <v>802</v>
      </c>
      <c r="H73" s="81" t="s">
        <v>803</v>
      </c>
      <c r="I73" s="67"/>
    </row>
    <row r="74" spans="1:9" ht="30" customHeight="1">
      <c r="A74" s="67"/>
      <c r="B74" s="79" t="s">
        <v>804</v>
      </c>
      <c r="C74" s="80" t="s">
        <v>756</v>
      </c>
      <c r="D74" s="72" t="s">
        <v>522</v>
      </c>
      <c r="E74" s="76">
        <v>-1</v>
      </c>
      <c r="F74" s="74" t="s">
        <v>805</v>
      </c>
      <c r="G74" s="74" t="s">
        <v>806</v>
      </c>
      <c r="H74" s="81" t="s">
        <v>807</v>
      </c>
      <c r="I74" s="67"/>
    </row>
    <row r="75" spans="1:9" ht="30" customHeight="1">
      <c r="A75" s="67"/>
      <c r="B75" s="79" t="s">
        <v>808</v>
      </c>
      <c r="C75" s="80" t="s">
        <v>756</v>
      </c>
      <c r="D75" s="72" t="s">
        <v>523</v>
      </c>
      <c r="E75" s="75">
        <v>-2</v>
      </c>
      <c r="F75" s="74" t="s">
        <v>809</v>
      </c>
      <c r="G75" s="74" t="s">
        <v>810</v>
      </c>
      <c r="H75" s="81" t="s">
        <v>811</v>
      </c>
      <c r="I75" s="67"/>
    </row>
    <row r="76" spans="1:9" ht="30" customHeight="1">
      <c r="A76" s="67"/>
      <c r="B76" s="79" t="s">
        <v>812</v>
      </c>
      <c r="C76" s="80" t="s">
        <v>756</v>
      </c>
      <c r="D76" s="72" t="s">
        <v>523</v>
      </c>
      <c r="E76" s="75">
        <v>-2</v>
      </c>
      <c r="F76" s="74" t="s">
        <v>813</v>
      </c>
      <c r="G76" s="74" t="s">
        <v>814</v>
      </c>
      <c r="H76" s="81" t="s">
        <v>815</v>
      </c>
      <c r="I76" s="67"/>
    </row>
    <row r="77" spans="1:9" ht="30" customHeight="1">
      <c r="A77" s="67"/>
      <c r="B77" s="79" t="s">
        <v>816</v>
      </c>
      <c r="C77" s="80" t="s">
        <v>756</v>
      </c>
      <c r="D77" s="72" t="s">
        <v>523</v>
      </c>
      <c r="E77" s="75">
        <v>-2</v>
      </c>
      <c r="F77" s="74" t="s">
        <v>817</v>
      </c>
      <c r="G77" s="74" t="s">
        <v>818</v>
      </c>
      <c r="H77" s="81" t="s">
        <v>819</v>
      </c>
      <c r="I77" s="67"/>
    </row>
    <row r="78" spans="1:9" ht="30" customHeight="1">
      <c r="A78" s="67"/>
      <c r="B78" s="79" t="s">
        <v>820</v>
      </c>
      <c r="C78" s="80" t="s">
        <v>756</v>
      </c>
      <c r="D78" s="72" t="s">
        <v>523</v>
      </c>
      <c r="E78" s="76">
        <v>-1</v>
      </c>
      <c r="F78" s="74" t="s">
        <v>821</v>
      </c>
      <c r="G78" s="74" t="s">
        <v>822</v>
      </c>
      <c r="H78" s="81" t="s">
        <v>823</v>
      </c>
      <c r="I78" s="67"/>
    </row>
    <row r="79" spans="1:9" ht="30" customHeight="1">
      <c r="A79" s="67"/>
      <c r="B79" s="79" t="s">
        <v>824</v>
      </c>
      <c r="C79" s="80" t="s">
        <v>756</v>
      </c>
      <c r="D79" s="72" t="s">
        <v>523</v>
      </c>
      <c r="E79" s="76">
        <v>-1</v>
      </c>
      <c r="F79" s="74" t="s">
        <v>825</v>
      </c>
      <c r="G79" s="74" t="s">
        <v>826</v>
      </c>
      <c r="H79" s="81" t="s">
        <v>827</v>
      </c>
      <c r="I79" s="67"/>
    </row>
    <row r="80" spans="1:9" ht="30" customHeight="1">
      <c r="A80" s="67"/>
      <c r="B80" s="79" t="s">
        <v>828</v>
      </c>
      <c r="C80" s="80" t="s">
        <v>756</v>
      </c>
      <c r="D80" s="72" t="s">
        <v>523</v>
      </c>
      <c r="E80" s="76">
        <v>-1</v>
      </c>
      <c r="F80" s="74" t="s">
        <v>829</v>
      </c>
      <c r="G80" s="74" t="s">
        <v>830</v>
      </c>
      <c r="H80" s="81" t="s">
        <v>831</v>
      </c>
      <c r="I80" s="67"/>
    </row>
    <row r="81" spans="1:9" ht="30" customHeight="1">
      <c r="A81" s="67"/>
      <c r="B81" s="79" t="s">
        <v>832</v>
      </c>
      <c r="C81" s="80" t="s">
        <v>756</v>
      </c>
      <c r="D81" s="72" t="s">
        <v>523</v>
      </c>
      <c r="E81" s="75">
        <v>-2</v>
      </c>
      <c r="F81" s="74" t="s">
        <v>833</v>
      </c>
      <c r="G81" s="74" t="s">
        <v>834</v>
      </c>
      <c r="H81" s="81" t="s">
        <v>835</v>
      </c>
      <c r="I81" s="67"/>
    </row>
    <row r="82" spans="1:9" ht="30" customHeight="1">
      <c r="A82" s="67"/>
      <c r="B82" s="79" t="s">
        <v>836</v>
      </c>
      <c r="C82" s="80" t="s">
        <v>756</v>
      </c>
      <c r="D82" s="72" t="s">
        <v>524</v>
      </c>
      <c r="E82" s="76">
        <v>-1</v>
      </c>
      <c r="F82" s="74" t="s">
        <v>837</v>
      </c>
      <c r="G82" s="74" t="s">
        <v>838</v>
      </c>
      <c r="H82" s="81" t="s">
        <v>839</v>
      </c>
      <c r="I82" s="67"/>
    </row>
    <row r="83" spans="1:9" ht="30" customHeight="1">
      <c r="A83" s="67"/>
      <c r="B83" s="79" t="s">
        <v>840</v>
      </c>
      <c r="C83" s="80" t="s">
        <v>756</v>
      </c>
      <c r="D83" s="72" t="s">
        <v>524</v>
      </c>
      <c r="E83" s="76">
        <v>-1</v>
      </c>
      <c r="F83" s="74" t="s">
        <v>624</v>
      </c>
      <c r="G83" s="74" t="s">
        <v>625</v>
      </c>
      <c r="H83" s="81" t="s">
        <v>841</v>
      </c>
      <c r="I83" s="67"/>
    </row>
    <row r="84" spans="1:9" ht="30" customHeight="1">
      <c r="A84" s="67"/>
      <c r="B84" s="79" t="s">
        <v>842</v>
      </c>
      <c r="C84" s="80" t="s">
        <v>756</v>
      </c>
      <c r="D84" s="72" t="s">
        <v>524</v>
      </c>
      <c r="E84" s="75">
        <v>-2</v>
      </c>
      <c r="F84" s="74" t="s">
        <v>843</v>
      </c>
      <c r="G84" s="74" t="s">
        <v>844</v>
      </c>
      <c r="H84" s="81" t="s">
        <v>845</v>
      </c>
      <c r="I84" s="67"/>
    </row>
    <row r="85" spans="1:9" ht="30" customHeight="1">
      <c r="A85" s="67"/>
      <c r="B85" s="79" t="s">
        <v>846</v>
      </c>
      <c r="C85" s="80" t="s">
        <v>756</v>
      </c>
      <c r="D85" s="72" t="s">
        <v>524</v>
      </c>
      <c r="E85" s="76">
        <v>-1</v>
      </c>
      <c r="F85" s="74" t="s">
        <v>847</v>
      </c>
      <c r="G85" s="74" t="s">
        <v>848</v>
      </c>
      <c r="H85" s="81" t="s">
        <v>849</v>
      </c>
      <c r="I85" s="67"/>
    </row>
    <row r="86" spans="1:9" ht="30" customHeight="1">
      <c r="A86" s="67"/>
      <c r="B86" s="79" t="s">
        <v>850</v>
      </c>
      <c r="C86" s="80" t="s">
        <v>756</v>
      </c>
      <c r="D86" s="72" t="s">
        <v>524</v>
      </c>
      <c r="E86" s="76">
        <v>-1</v>
      </c>
      <c r="F86" s="74" t="s">
        <v>851</v>
      </c>
      <c r="G86" s="74" t="s">
        <v>852</v>
      </c>
      <c r="H86" s="81" t="s">
        <v>853</v>
      </c>
      <c r="I86" s="67"/>
    </row>
    <row r="87" spans="1:9" ht="30" customHeight="1">
      <c r="A87" s="67"/>
      <c r="B87" s="79" t="s">
        <v>854</v>
      </c>
      <c r="C87" s="80" t="s">
        <v>756</v>
      </c>
      <c r="D87" s="72" t="s">
        <v>524</v>
      </c>
      <c r="E87" s="75">
        <v>-2</v>
      </c>
      <c r="F87" s="74" t="s">
        <v>855</v>
      </c>
      <c r="G87" s="74" t="s">
        <v>856</v>
      </c>
      <c r="H87" s="81" t="s">
        <v>857</v>
      </c>
      <c r="I87" s="67"/>
    </row>
    <row r="88" spans="1:9" ht="30" customHeight="1">
      <c r="A88" s="67"/>
      <c r="B88" s="79" t="s">
        <v>858</v>
      </c>
      <c r="C88" s="80" t="s">
        <v>756</v>
      </c>
      <c r="D88" s="72" t="s">
        <v>525</v>
      </c>
      <c r="E88" s="76">
        <v>-1</v>
      </c>
      <c r="F88" s="74" t="s">
        <v>859</v>
      </c>
      <c r="G88" s="74" t="s">
        <v>860</v>
      </c>
      <c r="H88" s="81" t="s">
        <v>861</v>
      </c>
      <c r="I88" s="67"/>
    </row>
    <row r="89" spans="1:9" ht="30" customHeight="1">
      <c r="A89" s="67"/>
      <c r="B89" s="79" t="s">
        <v>862</v>
      </c>
      <c r="C89" s="80" t="s">
        <v>756</v>
      </c>
      <c r="D89" s="72" t="s">
        <v>525</v>
      </c>
      <c r="E89" s="76">
        <v>-1</v>
      </c>
      <c r="F89" s="74" t="s">
        <v>863</v>
      </c>
      <c r="G89" s="74" t="s">
        <v>864</v>
      </c>
      <c r="H89" s="81" t="s">
        <v>865</v>
      </c>
      <c r="I89" s="67"/>
    </row>
    <row r="90" spans="1:9" ht="30" customHeight="1">
      <c r="A90" s="67"/>
      <c r="B90" s="67"/>
      <c r="C90" s="67"/>
      <c r="D90" s="67"/>
      <c r="E90" s="67"/>
      <c r="F90" s="67"/>
      <c r="G90" s="67"/>
      <c r="H90" s="67"/>
      <c r="I90" s="67"/>
    </row>
    <row r="91" spans="1:9" ht="30" customHeight="1">
      <c r="A91" s="67"/>
      <c r="B91" s="67"/>
      <c r="C91" s="67"/>
      <c r="D91" s="67"/>
      <c r="E91" s="67"/>
      <c r="F91" s="67"/>
      <c r="G91" s="67"/>
      <c r="H91" s="67"/>
      <c r="I91" s="67"/>
    </row>
    <row r="92" spans="1:9" ht="30" customHeight="1">
      <c r="A92" s="67"/>
      <c r="B92" s="67"/>
      <c r="C92" s="67"/>
      <c r="D92" s="67"/>
      <c r="E92" s="67"/>
      <c r="F92" s="67"/>
      <c r="G92" s="67"/>
      <c r="H92" s="67"/>
      <c r="I92" s="67"/>
    </row>
    <row r="93" spans="1:9" ht="30" customHeight="1">
      <c r="A93" s="67"/>
      <c r="B93" s="67"/>
      <c r="C93" s="67"/>
      <c r="D93" s="67"/>
      <c r="E93" s="67"/>
      <c r="F93" s="67"/>
      <c r="G93" s="67"/>
      <c r="H93" s="67"/>
      <c r="I93" s="67"/>
    </row>
    <row r="94" spans="1:9" ht="30" customHeight="1">
      <c r="A94" s="67"/>
      <c r="B94" s="67"/>
      <c r="C94" s="67"/>
      <c r="D94" s="67"/>
      <c r="E94" s="67"/>
      <c r="F94" s="67"/>
      <c r="G94" s="67"/>
      <c r="H94" s="67"/>
      <c r="I94" s="67"/>
    </row>
    <row r="95" spans="1:9" ht="30" customHeight="1">
      <c r="A95" s="67"/>
      <c r="B95" s="67"/>
      <c r="C95" s="67"/>
      <c r="D95" s="67"/>
      <c r="E95" s="67"/>
      <c r="F95" s="67"/>
      <c r="G95" s="67"/>
      <c r="H95" s="67"/>
      <c r="I95" s="67"/>
    </row>
    <row r="96" spans="1:9" ht="30" customHeight="1">
      <c r="A96" s="67"/>
      <c r="B96" s="67"/>
      <c r="C96" s="67"/>
      <c r="D96" s="67"/>
      <c r="E96" s="67"/>
      <c r="F96" s="67"/>
      <c r="G96" s="67"/>
      <c r="H96" s="67"/>
      <c r="I96" s="67"/>
    </row>
    <row r="97" spans="1:9" ht="30" customHeight="1">
      <c r="A97" s="67"/>
      <c r="B97" s="67"/>
      <c r="C97" s="67"/>
      <c r="D97" s="67"/>
      <c r="E97" s="67"/>
      <c r="F97" s="67"/>
      <c r="G97" s="67"/>
      <c r="H97" s="67"/>
      <c r="I97" s="67"/>
    </row>
    <row r="98" spans="1:9" ht="30" customHeight="1">
      <c r="A98" s="67"/>
      <c r="B98" s="67"/>
      <c r="C98" s="67"/>
      <c r="D98" s="67"/>
      <c r="E98" s="67"/>
      <c r="F98" s="67"/>
      <c r="G98" s="67"/>
      <c r="H98" s="67"/>
      <c r="I98" s="67"/>
    </row>
    <row r="99" spans="1:9" ht="30" customHeight="1">
      <c r="A99" s="67"/>
      <c r="B99" s="67"/>
      <c r="C99" s="67"/>
      <c r="D99" s="67"/>
      <c r="E99" s="67"/>
      <c r="F99" s="67"/>
      <c r="G99" s="67"/>
      <c r="H99" s="67"/>
      <c r="I99" s="67"/>
    </row>
    <row r="100" spans="1:9" ht="30" customHeight="1">
      <c r="A100" s="67"/>
      <c r="B100" s="67"/>
      <c r="C100" s="67"/>
      <c r="D100" s="67"/>
      <c r="E100" s="67"/>
      <c r="F100" s="67"/>
      <c r="G100" s="67"/>
      <c r="H100" s="67"/>
      <c r="I100" s="67"/>
    </row>
    <row r="101" spans="1:9" ht="30" customHeight="1">
      <c r="A101" s="67"/>
      <c r="B101" s="67"/>
      <c r="C101" s="67"/>
      <c r="D101" s="67"/>
      <c r="E101" s="67"/>
      <c r="F101" s="67"/>
      <c r="G101" s="67"/>
      <c r="H101" s="67"/>
      <c r="I101" s="67"/>
    </row>
    <row r="102" spans="1:9" ht="30" customHeight="1">
      <c r="A102" s="67"/>
      <c r="B102" s="67"/>
      <c r="C102" s="67"/>
      <c r="D102" s="67"/>
      <c r="E102" s="67"/>
      <c r="F102" s="67"/>
      <c r="G102" s="67"/>
      <c r="H102" s="67"/>
      <c r="I102" s="67"/>
    </row>
    <row r="103" spans="1:9" ht="30" customHeight="1">
      <c r="A103" s="67"/>
      <c r="B103" s="67"/>
      <c r="C103" s="67"/>
      <c r="D103" s="67"/>
      <c r="E103" s="67"/>
      <c r="F103" s="67"/>
      <c r="G103" s="67"/>
      <c r="H103" s="67"/>
      <c r="I103" s="67"/>
    </row>
    <row r="104" spans="1:9" ht="30" customHeight="1">
      <c r="A104" s="67"/>
      <c r="B104" s="67"/>
      <c r="C104" s="67"/>
      <c r="D104" s="67"/>
      <c r="E104" s="67"/>
      <c r="F104" s="67"/>
      <c r="G104" s="67"/>
      <c r="H104" s="67"/>
      <c r="I104" s="67"/>
    </row>
    <row r="105" spans="1:9" ht="30" customHeight="1">
      <c r="A105" s="67"/>
      <c r="B105" s="67"/>
      <c r="C105" s="67"/>
      <c r="D105" s="67"/>
      <c r="E105" s="67"/>
      <c r="F105" s="67"/>
      <c r="G105" s="67"/>
      <c r="H105" s="67"/>
      <c r="I105" s="67"/>
    </row>
    <row r="106" spans="1:9" ht="30" customHeight="1">
      <c r="A106" s="67"/>
      <c r="B106" s="67"/>
      <c r="C106" s="67"/>
      <c r="D106" s="67"/>
      <c r="E106" s="67"/>
      <c r="F106" s="67"/>
      <c r="G106" s="67"/>
      <c r="H106" s="67"/>
      <c r="I106" s="67"/>
    </row>
    <row r="107" spans="1:9" ht="30" customHeight="1">
      <c r="A107" s="67"/>
      <c r="B107" s="67"/>
      <c r="C107" s="67"/>
      <c r="D107" s="67"/>
      <c r="E107" s="67"/>
      <c r="F107" s="67"/>
      <c r="G107" s="67"/>
      <c r="H107" s="67"/>
      <c r="I107" s="67"/>
    </row>
    <row r="108" spans="1:9" ht="30" customHeight="1">
      <c r="A108" s="67"/>
      <c r="B108" s="67"/>
      <c r="C108" s="67"/>
      <c r="D108" s="67"/>
      <c r="E108" s="67"/>
      <c r="F108" s="67"/>
      <c r="G108" s="67"/>
      <c r="H108" s="67"/>
      <c r="I108" s="67"/>
    </row>
    <row r="109" spans="1:9" ht="30" customHeight="1">
      <c r="A109" s="67"/>
      <c r="B109" s="67"/>
      <c r="C109" s="67"/>
      <c r="D109" s="67"/>
      <c r="E109" s="67"/>
      <c r="F109" s="67"/>
      <c r="G109" s="67"/>
      <c r="H109" s="67"/>
      <c r="I109" s="67"/>
    </row>
    <row r="110" spans="1:9" ht="30" customHeight="1">
      <c r="A110" s="67"/>
      <c r="B110" s="67"/>
      <c r="C110" s="67"/>
      <c r="D110" s="67"/>
      <c r="E110" s="67"/>
      <c r="F110" s="67"/>
      <c r="G110" s="67"/>
      <c r="H110" s="67"/>
      <c r="I110" s="67"/>
    </row>
    <row r="111" spans="1:9" ht="15" customHeight="1">
      <c r="A111" s="67"/>
      <c r="B111" s="67"/>
      <c r="C111" s="67"/>
      <c r="D111" s="67"/>
      <c r="E111" s="67"/>
      <c r="F111" s="67"/>
      <c r="G111" s="67"/>
      <c r="H111" s="67"/>
      <c r="I111" s="67"/>
    </row>
    <row r="112" spans="1:9" ht="15" customHeight="1">
      <c r="A112" s="67"/>
      <c r="B112" s="67"/>
      <c r="C112" s="67"/>
      <c r="D112" s="67"/>
      <c r="E112" s="67"/>
      <c r="F112" s="67"/>
      <c r="G112" s="67"/>
      <c r="H112" s="67"/>
      <c r="I112" s="67"/>
    </row>
    <row r="113" spans="1:9" ht="15" customHeight="1">
      <c r="A113" s="67"/>
      <c r="B113" s="67"/>
      <c r="C113" s="67"/>
      <c r="D113" s="67"/>
      <c r="E113" s="67"/>
      <c r="F113" s="67"/>
      <c r="G113" s="67"/>
      <c r="H113" s="67"/>
      <c r="I113" s="67"/>
    </row>
  </sheetData>
  <autoFilter ref="A5:I89" xr:uid="{8548494C-70E0-470E-B9C7-DACC956B62F8}"/>
  <mergeCells count="3">
    <mergeCell ref="A1:I1"/>
    <mergeCell ref="A2:I2"/>
    <mergeCell ref="B4:H4"/>
  </mergeCells>
  <phoneticPr fontId="1" type="noConversion"/>
  <dataValidations count="2">
    <dataValidation type="list" sqref="G6:G58" xr:uid="{0F5E7BF4-703B-48A4-8F7B-20B1EBE4C9C4}">
      <formula1>"0,-1,-2"</formula1>
      <formula2>0</formula2>
    </dataValidation>
    <dataValidation type="list" sqref="D6:D58" xr:uid="{CB08B9AD-C07C-4D23-99D4-851A3068E9F4}">
      <formula1>"공학적제어,운영,행정,보호구"</formula1>
      <formula2>0</formula2>
    </dataValidation>
  </dataValidations>
  <pageMargins left="0.25" right="0.25" top="0.75" bottom="0.75" header="0.3" footer="0.3"/>
  <pageSetup paperSize="9" scale="69" fitToHeight="0" orientation="portrait" horizontalDpi="300" verticalDpi="300" r:id="rId1"/>
  <rowBreaks count="2" manualBreakCount="2">
    <brk id="32" max="8" man="1"/>
    <brk id="61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4290-AA3F-4018-BDFF-5C54A2F4C5A9}">
  <dimension ref="B2:F233"/>
  <sheetViews>
    <sheetView showGridLines="0" zoomScaleNormal="100" workbookViewId="0"/>
  </sheetViews>
  <sheetFormatPr defaultRowHeight="16.5"/>
  <cols>
    <col min="1" max="1" width="3.75" style="4" customWidth="1"/>
    <col min="2" max="2" width="13.625" style="4" customWidth="1"/>
    <col min="3" max="3" width="22.375" style="4" customWidth="1"/>
    <col min="4" max="4" width="46.5" style="4" customWidth="1"/>
    <col min="5" max="5" width="33.75" style="4" customWidth="1"/>
    <col min="6" max="6" width="13.125" style="82" customWidth="1"/>
    <col min="7" max="16384" width="9" style="4"/>
  </cols>
  <sheetData>
    <row r="2" spans="2:6">
      <c r="B2" s="153" t="s">
        <v>866</v>
      </c>
    </row>
    <row r="4" spans="2:6">
      <c r="B4" s="82" t="s">
        <v>867</v>
      </c>
      <c r="C4" s="82" t="s">
        <v>868</v>
      </c>
      <c r="D4" s="82" t="s">
        <v>869</v>
      </c>
      <c r="E4" s="82" t="s">
        <v>312</v>
      </c>
      <c r="F4" s="82" t="s">
        <v>870</v>
      </c>
    </row>
    <row r="5" spans="2:6">
      <c r="B5" s="4" t="s">
        <v>871</v>
      </c>
      <c r="C5" s="4" t="s">
        <v>29</v>
      </c>
      <c r="D5" s="4" t="s">
        <v>872</v>
      </c>
      <c r="E5" s="4" t="s">
        <v>873</v>
      </c>
      <c r="F5" s="82">
        <v>5</v>
      </c>
    </row>
    <row r="6" spans="2:6">
      <c r="D6" s="4" t="s">
        <v>874</v>
      </c>
      <c r="E6" s="4" t="s">
        <v>875</v>
      </c>
      <c r="F6" s="82">
        <v>5</v>
      </c>
    </row>
    <row r="7" spans="2:6">
      <c r="D7" s="4" t="s">
        <v>876</v>
      </c>
      <c r="E7" s="4" t="s">
        <v>877</v>
      </c>
      <c r="F7" s="82">
        <v>5</v>
      </c>
    </row>
    <row r="8" spans="2:6">
      <c r="D8" s="4" t="s">
        <v>878</v>
      </c>
      <c r="E8" s="4" t="s">
        <v>879</v>
      </c>
      <c r="F8" s="82">
        <v>4</v>
      </c>
    </row>
    <row r="9" spans="2:6">
      <c r="D9" s="4" t="s">
        <v>880</v>
      </c>
      <c r="E9" s="4" t="s">
        <v>881</v>
      </c>
      <c r="F9" s="82">
        <v>4</v>
      </c>
    </row>
    <row r="10" spans="2:6">
      <c r="D10" s="4" t="s">
        <v>882</v>
      </c>
      <c r="E10" s="4" t="s">
        <v>883</v>
      </c>
      <c r="F10" s="82">
        <v>4</v>
      </c>
    </row>
    <row r="11" spans="2:6">
      <c r="D11" s="4" t="s">
        <v>884</v>
      </c>
      <c r="E11" s="4" t="s">
        <v>885</v>
      </c>
      <c r="F11" s="82">
        <v>4</v>
      </c>
    </row>
    <row r="12" spans="2:6">
      <c r="D12" s="4" t="s">
        <v>886</v>
      </c>
      <c r="E12" s="4" t="s">
        <v>887</v>
      </c>
      <c r="F12" s="82">
        <v>3</v>
      </c>
    </row>
    <row r="13" spans="2:6">
      <c r="D13" s="4" t="s">
        <v>888</v>
      </c>
      <c r="E13" s="4" t="s">
        <v>889</v>
      </c>
      <c r="F13" s="82">
        <v>2</v>
      </c>
    </row>
    <row r="14" spans="2:6">
      <c r="D14" s="4" t="s">
        <v>182</v>
      </c>
      <c r="E14" s="4" t="s">
        <v>890</v>
      </c>
      <c r="F14" s="82">
        <v>5</v>
      </c>
    </row>
    <row r="15" spans="2:6">
      <c r="D15" s="4" t="s">
        <v>182</v>
      </c>
      <c r="E15" s="4" t="s">
        <v>891</v>
      </c>
      <c r="F15" s="82">
        <v>4</v>
      </c>
    </row>
    <row r="16" spans="2:6">
      <c r="D16" s="4" t="s">
        <v>182</v>
      </c>
      <c r="E16" s="4" t="s">
        <v>892</v>
      </c>
      <c r="F16" s="82">
        <v>3</v>
      </c>
    </row>
    <row r="17" spans="2:6">
      <c r="D17" s="4" t="s">
        <v>182</v>
      </c>
      <c r="E17" s="4" t="s">
        <v>893</v>
      </c>
      <c r="F17" s="82">
        <v>2</v>
      </c>
    </row>
    <row r="18" spans="2:6">
      <c r="D18" s="4" t="s">
        <v>182</v>
      </c>
      <c r="E18" s="4" t="s">
        <v>894</v>
      </c>
      <c r="F18" s="82">
        <v>1</v>
      </c>
    </row>
    <row r="19" spans="2:6">
      <c r="D19" s="4" t="s">
        <v>182</v>
      </c>
      <c r="E19" s="4" t="s">
        <v>895</v>
      </c>
      <c r="F19" s="82">
        <v>1</v>
      </c>
    </row>
    <row r="20" spans="2:6">
      <c r="B20" s="4" t="s">
        <v>896</v>
      </c>
      <c r="C20" s="4" t="s">
        <v>897</v>
      </c>
      <c r="D20" s="4" t="s">
        <v>898</v>
      </c>
      <c r="E20" s="4" t="s">
        <v>899</v>
      </c>
      <c r="F20" s="82">
        <v>5</v>
      </c>
    </row>
    <row r="21" spans="2:6">
      <c r="D21" s="4" t="s">
        <v>900</v>
      </c>
      <c r="E21" s="4" t="s">
        <v>901</v>
      </c>
      <c r="F21" s="82">
        <v>5</v>
      </c>
    </row>
    <row r="22" spans="2:6">
      <c r="D22" s="4" t="s">
        <v>902</v>
      </c>
      <c r="E22" s="4" t="s">
        <v>903</v>
      </c>
      <c r="F22" s="82">
        <v>5</v>
      </c>
    </row>
    <row r="23" spans="2:6">
      <c r="D23" s="4" t="s">
        <v>904</v>
      </c>
      <c r="E23" s="4" t="s">
        <v>905</v>
      </c>
      <c r="F23" s="82">
        <v>5</v>
      </c>
    </row>
    <row r="24" spans="2:6">
      <c r="D24" s="4" t="s">
        <v>906</v>
      </c>
      <c r="E24" s="4" t="s">
        <v>907</v>
      </c>
      <c r="F24" s="82">
        <v>5</v>
      </c>
    </row>
    <row r="25" spans="2:6">
      <c r="D25" s="4" t="s">
        <v>908</v>
      </c>
      <c r="E25" s="4" t="s">
        <v>909</v>
      </c>
      <c r="F25" s="82">
        <v>5</v>
      </c>
    </row>
    <row r="26" spans="2:6">
      <c r="D26" s="4" t="s">
        <v>910</v>
      </c>
      <c r="E26" s="4" t="s">
        <v>911</v>
      </c>
      <c r="F26" s="82">
        <v>4</v>
      </c>
    </row>
    <row r="27" spans="2:6">
      <c r="D27" s="4" t="s">
        <v>912</v>
      </c>
      <c r="E27" s="4" t="s">
        <v>913</v>
      </c>
      <c r="F27" s="82">
        <v>4</v>
      </c>
    </row>
    <row r="28" spans="2:6">
      <c r="D28" s="4" t="s">
        <v>914</v>
      </c>
      <c r="E28" s="4" t="s">
        <v>915</v>
      </c>
      <c r="F28" s="82">
        <v>3</v>
      </c>
    </row>
    <row r="29" spans="2:6">
      <c r="D29" s="4" t="s">
        <v>916</v>
      </c>
      <c r="E29" s="4" t="s">
        <v>917</v>
      </c>
      <c r="F29" s="82">
        <v>3</v>
      </c>
    </row>
    <row r="30" spans="2:6">
      <c r="D30" s="4" t="s">
        <v>918</v>
      </c>
      <c r="E30" s="4" t="s">
        <v>915</v>
      </c>
      <c r="F30" s="82">
        <v>2</v>
      </c>
    </row>
    <row r="31" spans="2:6">
      <c r="D31" s="4" t="s">
        <v>919</v>
      </c>
      <c r="E31" s="4" t="s">
        <v>920</v>
      </c>
      <c r="F31" s="82">
        <v>2</v>
      </c>
    </row>
    <row r="32" spans="2:6">
      <c r="D32" s="4" t="s">
        <v>182</v>
      </c>
      <c r="E32" s="4" t="s">
        <v>921</v>
      </c>
      <c r="F32" s="82">
        <v>4</v>
      </c>
    </row>
    <row r="33" spans="2:6">
      <c r="D33" s="4" t="s">
        <v>182</v>
      </c>
      <c r="E33" s="4" t="s">
        <v>922</v>
      </c>
      <c r="F33" s="82">
        <v>3</v>
      </c>
    </row>
    <row r="34" spans="2:6">
      <c r="D34" s="4" t="s">
        <v>182</v>
      </c>
      <c r="E34" s="4" t="s">
        <v>923</v>
      </c>
      <c r="F34" s="82">
        <v>2</v>
      </c>
    </row>
    <row r="35" spans="2:6">
      <c r="D35" s="4" t="s">
        <v>182</v>
      </c>
      <c r="E35" s="4" t="s">
        <v>924</v>
      </c>
      <c r="F35" s="82">
        <v>1</v>
      </c>
    </row>
    <row r="36" spans="2:6">
      <c r="D36" s="4" t="s">
        <v>182</v>
      </c>
      <c r="E36" s="4" t="s">
        <v>925</v>
      </c>
      <c r="F36" s="82">
        <v>1</v>
      </c>
    </row>
    <row r="37" spans="2:6">
      <c r="B37" s="4" t="s">
        <v>926</v>
      </c>
      <c r="C37" s="4" t="s">
        <v>265</v>
      </c>
      <c r="D37" s="4" t="s">
        <v>898</v>
      </c>
      <c r="E37" s="4" t="s">
        <v>899</v>
      </c>
      <c r="F37" s="82">
        <v>5</v>
      </c>
    </row>
    <row r="38" spans="2:6">
      <c r="D38" s="4" t="s">
        <v>900</v>
      </c>
      <c r="E38" s="4" t="s">
        <v>901</v>
      </c>
      <c r="F38" s="82">
        <v>5</v>
      </c>
    </row>
    <row r="39" spans="2:6">
      <c r="D39" s="4" t="s">
        <v>902</v>
      </c>
      <c r="E39" s="4" t="s">
        <v>903</v>
      </c>
      <c r="F39" s="82">
        <v>5</v>
      </c>
    </row>
    <row r="40" spans="2:6">
      <c r="D40" s="4" t="s">
        <v>904</v>
      </c>
      <c r="E40" s="4" t="s">
        <v>905</v>
      </c>
      <c r="F40" s="82">
        <v>4</v>
      </c>
    </row>
    <row r="41" spans="2:6">
      <c r="D41" s="4" t="s">
        <v>906</v>
      </c>
      <c r="E41" s="4" t="s">
        <v>907</v>
      </c>
      <c r="F41" s="82">
        <v>4</v>
      </c>
    </row>
    <row r="42" spans="2:6">
      <c r="D42" s="4" t="s">
        <v>908</v>
      </c>
      <c r="E42" s="4" t="s">
        <v>909</v>
      </c>
      <c r="F42" s="82">
        <v>4</v>
      </c>
    </row>
    <row r="43" spans="2:6">
      <c r="D43" s="4" t="s">
        <v>927</v>
      </c>
      <c r="E43" s="4" t="s">
        <v>928</v>
      </c>
      <c r="F43" s="82">
        <v>5</v>
      </c>
    </row>
    <row r="44" spans="2:6">
      <c r="D44" s="4" t="s">
        <v>929</v>
      </c>
      <c r="E44" s="4" t="s">
        <v>930</v>
      </c>
      <c r="F44" s="82">
        <v>4</v>
      </c>
    </row>
    <row r="45" spans="2:6">
      <c r="D45" s="4" t="s">
        <v>931</v>
      </c>
      <c r="E45" s="4" t="s">
        <v>932</v>
      </c>
      <c r="F45" s="82">
        <v>3</v>
      </c>
    </row>
    <row r="46" spans="2:6">
      <c r="D46" s="4" t="s">
        <v>182</v>
      </c>
      <c r="E46" s="4" t="s">
        <v>182</v>
      </c>
      <c r="F46" s="82">
        <v>1</v>
      </c>
    </row>
    <row r="47" spans="2:6">
      <c r="B47" s="4" t="s">
        <v>933</v>
      </c>
      <c r="C47" s="4" t="s">
        <v>934</v>
      </c>
      <c r="D47" s="4" t="s">
        <v>935</v>
      </c>
      <c r="E47" s="4" t="s">
        <v>936</v>
      </c>
      <c r="F47" s="82">
        <v>5</v>
      </c>
    </row>
    <row r="48" spans="2:6">
      <c r="D48" s="4" t="s">
        <v>937</v>
      </c>
      <c r="E48" s="4" t="s">
        <v>938</v>
      </c>
      <c r="F48" s="82">
        <v>5</v>
      </c>
    </row>
    <row r="49" spans="2:6">
      <c r="D49" s="4" t="s">
        <v>939</v>
      </c>
      <c r="E49" s="4" t="s">
        <v>940</v>
      </c>
      <c r="F49" s="82">
        <v>4</v>
      </c>
    </row>
    <row r="50" spans="2:6">
      <c r="D50" s="4" t="s">
        <v>182</v>
      </c>
      <c r="E50" s="154" t="s">
        <v>941</v>
      </c>
      <c r="F50" s="82">
        <v>4</v>
      </c>
    </row>
    <row r="51" spans="2:6">
      <c r="D51" s="4" t="s">
        <v>182</v>
      </c>
      <c r="E51" s="154" t="s">
        <v>942</v>
      </c>
      <c r="F51" s="82">
        <v>3</v>
      </c>
    </row>
    <row r="52" spans="2:6">
      <c r="D52" s="4" t="s">
        <v>182</v>
      </c>
      <c r="E52" s="4" t="s">
        <v>943</v>
      </c>
      <c r="F52" s="82">
        <v>2</v>
      </c>
    </row>
    <row r="53" spans="2:6">
      <c r="D53" s="4" t="s">
        <v>182</v>
      </c>
      <c r="E53" s="4" t="s">
        <v>944</v>
      </c>
      <c r="F53" s="82">
        <v>1</v>
      </c>
    </row>
    <row r="54" spans="2:6">
      <c r="D54" s="4" t="s">
        <v>182</v>
      </c>
      <c r="E54" s="4" t="s">
        <v>182</v>
      </c>
      <c r="F54" s="82">
        <v>1</v>
      </c>
    </row>
    <row r="55" spans="2:6">
      <c r="B55" s="4" t="s">
        <v>945</v>
      </c>
      <c r="C55" s="4" t="s">
        <v>946</v>
      </c>
      <c r="D55" s="4" t="s">
        <v>947</v>
      </c>
      <c r="E55" s="4" t="s">
        <v>948</v>
      </c>
      <c r="F55" s="82">
        <v>5</v>
      </c>
    </row>
    <row r="56" spans="2:6">
      <c r="D56" s="4" t="s">
        <v>949</v>
      </c>
      <c r="E56" s="4" t="s">
        <v>950</v>
      </c>
      <c r="F56" s="82">
        <v>4</v>
      </c>
    </row>
    <row r="57" spans="2:6">
      <c r="D57" s="4" t="s">
        <v>951</v>
      </c>
      <c r="E57" s="4" t="s">
        <v>952</v>
      </c>
      <c r="F57" s="82">
        <v>3</v>
      </c>
    </row>
    <row r="58" spans="2:6">
      <c r="D58" s="4" t="s">
        <v>182</v>
      </c>
      <c r="E58" s="4" t="s">
        <v>953</v>
      </c>
      <c r="F58" s="82">
        <v>5</v>
      </c>
    </row>
    <row r="59" spans="2:6">
      <c r="D59" s="4" t="s">
        <v>182</v>
      </c>
      <c r="E59" s="4" t="s">
        <v>954</v>
      </c>
      <c r="F59" s="82">
        <v>4</v>
      </c>
    </row>
    <row r="60" spans="2:6">
      <c r="D60" s="4" t="s">
        <v>182</v>
      </c>
      <c r="E60" s="4" t="s">
        <v>955</v>
      </c>
      <c r="F60" s="82">
        <v>3</v>
      </c>
    </row>
    <row r="61" spans="2:6">
      <c r="D61" s="4" t="s">
        <v>182</v>
      </c>
      <c r="E61" s="4" t="s">
        <v>182</v>
      </c>
      <c r="F61" s="82">
        <v>1</v>
      </c>
    </row>
    <row r="62" spans="2:6">
      <c r="B62" s="4" t="s">
        <v>956</v>
      </c>
      <c r="C62" s="4" t="s">
        <v>957</v>
      </c>
      <c r="D62" s="4" t="s">
        <v>958</v>
      </c>
      <c r="E62" s="4" t="s">
        <v>959</v>
      </c>
      <c r="F62" s="82">
        <v>5</v>
      </c>
    </row>
    <row r="63" spans="2:6">
      <c r="D63" s="4" t="s">
        <v>960</v>
      </c>
      <c r="E63" s="4" t="s">
        <v>961</v>
      </c>
      <c r="F63" s="82">
        <v>4</v>
      </c>
    </row>
    <row r="64" spans="2:6">
      <c r="D64" s="4" t="s">
        <v>962</v>
      </c>
      <c r="E64" s="4" t="s">
        <v>963</v>
      </c>
      <c r="F64" s="82">
        <v>3</v>
      </c>
    </row>
    <row r="65" spans="2:6">
      <c r="D65" s="4" t="s">
        <v>964</v>
      </c>
      <c r="E65" s="4" t="s">
        <v>965</v>
      </c>
      <c r="F65" s="82">
        <v>2</v>
      </c>
    </row>
    <row r="66" spans="2:6">
      <c r="D66" s="4" t="s">
        <v>182</v>
      </c>
      <c r="E66" s="4" t="s">
        <v>966</v>
      </c>
      <c r="F66" s="82">
        <v>5</v>
      </c>
    </row>
    <row r="67" spans="2:6">
      <c r="D67" s="4" t="s">
        <v>182</v>
      </c>
      <c r="E67" s="4" t="s">
        <v>967</v>
      </c>
      <c r="F67" s="82">
        <v>4</v>
      </c>
    </row>
    <row r="68" spans="2:6">
      <c r="D68" s="4" t="s">
        <v>182</v>
      </c>
      <c r="E68" s="4" t="s">
        <v>968</v>
      </c>
      <c r="F68" s="82">
        <v>3</v>
      </c>
    </row>
    <row r="69" spans="2:6">
      <c r="D69" s="4" t="s">
        <v>182</v>
      </c>
      <c r="E69" s="4" t="s">
        <v>969</v>
      </c>
      <c r="F69" s="82">
        <v>2</v>
      </c>
    </row>
    <row r="70" spans="2:6">
      <c r="D70" s="4" t="s">
        <v>182</v>
      </c>
      <c r="E70" s="4" t="s">
        <v>970</v>
      </c>
      <c r="F70" s="82">
        <v>1</v>
      </c>
    </row>
    <row r="71" spans="2:6">
      <c r="D71" s="4" t="s">
        <v>182</v>
      </c>
      <c r="E71" s="4" t="s">
        <v>971</v>
      </c>
      <c r="F71" s="82">
        <v>5</v>
      </c>
    </row>
    <row r="72" spans="2:6">
      <c r="D72" s="4" t="s">
        <v>182</v>
      </c>
      <c r="E72" s="4" t="s">
        <v>972</v>
      </c>
      <c r="F72" s="82">
        <v>4</v>
      </c>
    </row>
    <row r="73" spans="2:6">
      <c r="D73" s="4" t="s">
        <v>182</v>
      </c>
      <c r="E73" s="4" t="s">
        <v>973</v>
      </c>
      <c r="F73" s="82">
        <v>3</v>
      </c>
    </row>
    <row r="74" spans="2:6">
      <c r="D74" s="4" t="s">
        <v>182</v>
      </c>
      <c r="E74" s="4" t="s">
        <v>974</v>
      </c>
      <c r="F74" s="82">
        <v>2</v>
      </c>
    </row>
    <row r="75" spans="2:6">
      <c r="D75" s="4" t="s">
        <v>182</v>
      </c>
      <c r="E75" s="4" t="s">
        <v>975</v>
      </c>
      <c r="F75" s="82">
        <v>1</v>
      </c>
    </row>
    <row r="76" spans="2:6">
      <c r="D76" s="4" t="s">
        <v>182</v>
      </c>
      <c r="E76" s="4" t="s">
        <v>182</v>
      </c>
      <c r="F76" s="82">
        <v>1</v>
      </c>
    </row>
    <row r="77" spans="2:6">
      <c r="B77" s="4" t="s">
        <v>976</v>
      </c>
      <c r="C77" s="4" t="s">
        <v>977</v>
      </c>
      <c r="D77" s="4" t="s">
        <v>978</v>
      </c>
      <c r="E77" s="4" t="s">
        <v>979</v>
      </c>
      <c r="F77" s="82">
        <v>5</v>
      </c>
    </row>
    <row r="78" spans="2:6">
      <c r="D78" s="4" t="s">
        <v>980</v>
      </c>
      <c r="E78" s="4" t="s">
        <v>981</v>
      </c>
      <c r="F78" s="82">
        <v>5</v>
      </c>
    </row>
    <row r="79" spans="2:6">
      <c r="D79" s="4" t="s">
        <v>982</v>
      </c>
      <c r="E79" s="4" t="s">
        <v>983</v>
      </c>
      <c r="F79" s="82">
        <v>4</v>
      </c>
    </row>
    <row r="80" spans="2:6">
      <c r="D80" s="4" t="s">
        <v>984</v>
      </c>
      <c r="E80" s="4" t="s">
        <v>985</v>
      </c>
      <c r="F80" s="82">
        <v>4</v>
      </c>
    </row>
    <row r="81" spans="2:6">
      <c r="D81" s="4" t="s">
        <v>986</v>
      </c>
      <c r="E81" s="4" t="s">
        <v>987</v>
      </c>
      <c r="F81" s="82">
        <v>4</v>
      </c>
    </row>
    <row r="82" spans="2:6">
      <c r="D82" s="4" t="s">
        <v>988</v>
      </c>
      <c r="E82" s="4" t="s">
        <v>989</v>
      </c>
      <c r="F82" s="82">
        <v>3</v>
      </c>
    </row>
    <row r="83" spans="2:6">
      <c r="D83" s="4" t="s">
        <v>990</v>
      </c>
      <c r="E83" s="4" t="s">
        <v>991</v>
      </c>
      <c r="F83" s="82">
        <v>2</v>
      </c>
    </row>
    <row r="84" spans="2:6">
      <c r="D84" s="4" t="s">
        <v>992</v>
      </c>
      <c r="E84" s="4" t="s">
        <v>993</v>
      </c>
      <c r="F84" s="82">
        <v>2</v>
      </c>
    </row>
    <row r="85" spans="2:6">
      <c r="D85" s="4" t="s">
        <v>182</v>
      </c>
      <c r="E85" s="4" t="s">
        <v>994</v>
      </c>
      <c r="F85" s="82">
        <v>5</v>
      </c>
    </row>
    <row r="86" spans="2:6">
      <c r="D86" s="4" t="s">
        <v>182</v>
      </c>
      <c r="E86" s="4" t="s">
        <v>995</v>
      </c>
      <c r="F86" s="82">
        <v>4</v>
      </c>
    </row>
    <row r="87" spans="2:6">
      <c r="D87" s="4" t="s">
        <v>182</v>
      </c>
      <c r="E87" s="4" t="s">
        <v>996</v>
      </c>
      <c r="F87" s="82">
        <v>3</v>
      </c>
    </row>
    <row r="88" spans="2:6">
      <c r="D88" s="4" t="s">
        <v>182</v>
      </c>
      <c r="E88" s="4" t="s">
        <v>997</v>
      </c>
      <c r="F88" s="82">
        <v>2</v>
      </c>
    </row>
    <row r="89" spans="2:6">
      <c r="D89" s="4" t="s">
        <v>182</v>
      </c>
      <c r="E89" s="4" t="s">
        <v>998</v>
      </c>
      <c r="F89" s="82">
        <v>1</v>
      </c>
    </row>
    <row r="90" spans="2:6">
      <c r="D90" s="4" t="s">
        <v>182</v>
      </c>
      <c r="E90" s="4" t="s">
        <v>999</v>
      </c>
      <c r="F90" s="82">
        <v>5</v>
      </c>
    </row>
    <row r="91" spans="2:6">
      <c r="D91" s="4" t="s">
        <v>182</v>
      </c>
      <c r="E91" s="4" t="s">
        <v>1000</v>
      </c>
      <c r="F91" s="82">
        <v>4</v>
      </c>
    </row>
    <row r="92" spans="2:6">
      <c r="D92" s="4" t="s">
        <v>182</v>
      </c>
      <c r="E92" s="4" t="s">
        <v>1001</v>
      </c>
      <c r="F92" s="82">
        <v>3</v>
      </c>
    </row>
    <row r="93" spans="2:6">
      <c r="D93" s="4" t="s">
        <v>182</v>
      </c>
      <c r="E93" s="4" t="s">
        <v>1002</v>
      </c>
      <c r="F93" s="82">
        <v>2</v>
      </c>
    </row>
    <row r="94" spans="2:6">
      <c r="D94" s="4" t="s">
        <v>182</v>
      </c>
      <c r="E94" s="4" t="s">
        <v>1003</v>
      </c>
      <c r="F94" s="82">
        <v>1</v>
      </c>
    </row>
    <row r="95" spans="2:6">
      <c r="D95" s="4" t="s">
        <v>182</v>
      </c>
      <c r="E95" s="4" t="s">
        <v>182</v>
      </c>
      <c r="F95" s="82">
        <v>1</v>
      </c>
    </row>
    <row r="96" spans="2:6">
      <c r="B96" s="4" t="s">
        <v>1004</v>
      </c>
      <c r="C96" s="4" t="s">
        <v>1005</v>
      </c>
      <c r="D96" s="4" t="s">
        <v>1006</v>
      </c>
      <c r="E96" s="4" t="s">
        <v>1007</v>
      </c>
      <c r="F96" s="82">
        <v>5</v>
      </c>
    </row>
    <row r="97" spans="2:6">
      <c r="D97" s="4" t="s">
        <v>1008</v>
      </c>
      <c r="E97" s="4" t="s">
        <v>1009</v>
      </c>
      <c r="F97" s="82">
        <v>4</v>
      </c>
    </row>
    <row r="98" spans="2:6">
      <c r="D98" s="4" t="s">
        <v>1010</v>
      </c>
      <c r="E98" s="4" t="s">
        <v>1009</v>
      </c>
      <c r="F98" s="82">
        <v>4</v>
      </c>
    </row>
    <row r="99" spans="2:6">
      <c r="D99" s="4" t="s">
        <v>1011</v>
      </c>
      <c r="E99" s="4" t="s">
        <v>1012</v>
      </c>
      <c r="F99" s="82">
        <v>3</v>
      </c>
    </row>
    <row r="100" spans="2:6">
      <c r="D100" s="4" t="s">
        <v>1013</v>
      </c>
      <c r="E100" s="4" t="s">
        <v>1014</v>
      </c>
      <c r="F100" s="82">
        <v>3</v>
      </c>
    </row>
    <row r="101" spans="2:6">
      <c r="D101" s="4" t="s">
        <v>1015</v>
      </c>
      <c r="E101" s="4" t="s">
        <v>1016</v>
      </c>
      <c r="F101" s="82">
        <v>2</v>
      </c>
    </row>
    <row r="102" spans="2:6">
      <c r="D102" s="4" t="s">
        <v>1017</v>
      </c>
      <c r="E102" s="4" t="s">
        <v>1018</v>
      </c>
      <c r="F102" s="82">
        <v>4</v>
      </c>
    </row>
    <row r="103" spans="2:6">
      <c r="D103" s="4" t="s">
        <v>1019</v>
      </c>
      <c r="E103" s="4" t="s">
        <v>1020</v>
      </c>
      <c r="F103" s="82">
        <v>3</v>
      </c>
    </row>
    <row r="104" spans="2:6">
      <c r="D104" s="4" t="s">
        <v>1021</v>
      </c>
      <c r="E104" s="4" t="s">
        <v>1022</v>
      </c>
      <c r="F104" s="82">
        <v>2</v>
      </c>
    </row>
    <row r="105" spans="2:6">
      <c r="D105" s="4" t="s">
        <v>182</v>
      </c>
      <c r="E105" s="4" t="s">
        <v>182</v>
      </c>
      <c r="F105" s="82">
        <v>1</v>
      </c>
    </row>
    <row r="106" spans="2:6">
      <c r="B106" s="4" t="s">
        <v>1023</v>
      </c>
      <c r="C106" s="4" t="s">
        <v>62</v>
      </c>
      <c r="D106" s="4" t="s">
        <v>1024</v>
      </c>
      <c r="E106" s="4" t="s">
        <v>1025</v>
      </c>
      <c r="F106" s="82">
        <v>5</v>
      </c>
    </row>
    <row r="107" spans="2:6">
      <c r="D107" s="4" t="s">
        <v>1026</v>
      </c>
      <c r="E107" s="4" t="s">
        <v>1027</v>
      </c>
      <c r="F107" s="82">
        <v>4</v>
      </c>
    </row>
    <row r="108" spans="2:6">
      <c r="D108" s="4" t="s">
        <v>1028</v>
      </c>
      <c r="E108" s="4" t="s">
        <v>1029</v>
      </c>
      <c r="F108" s="82">
        <v>3</v>
      </c>
    </row>
    <row r="109" spans="2:6">
      <c r="D109" s="4" t="s">
        <v>1030</v>
      </c>
      <c r="E109" s="4" t="s">
        <v>1031</v>
      </c>
      <c r="F109" s="82">
        <v>5</v>
      </c>
    </row>
    <row r="110" spans="2:6">
      <c r="D110" s="4" t="s">
        <v>1032</v>
      </c>
      <c r="E110" s="4" t="s">
        <v>1033</v>
      </c>
      <c r="F110" s="82">
        <v>4</v>
      </c>
    </row>
    <row r="111" spans="2:6">
      <c r="D111" s="4" t="s">
        <v>1034</v>
      </c>
      <c r="E111" s="4" t="s">
        <v>1035</v>
      </c>
      <c r="F111" s="82">
        <v>3</v>
      </c>
    </row>
    <row r="112" spans="2:6">
      <c r="D112" s="4" t="s">
        <v>1036</v>
      </c>
      <c r="E112" s="4" t="s">
        <v>1037</v>
      </c>
      <c r="F112" s="82">
        <v>2</v>
      </c>
    </row>
    <row r="113" spans="2:6">
      <c r="D113" s="4" t="s">
        <v>464</v>
      </c>
      <c r="E113" s="4" t="s">
        <v>182</v>
      </c>
      <c r="F113" s="82">
        <v>1</v>
      </c>
    </row>
    <row r="114" spans="2:6">
      <c r="B114" s="4" t="s">
        <v>1038</v>
      </c>
      <c r="C114" s="4" t="s">
        <v>65</v>
      </c>
      <c r="D114" s="4" t="s">
        <v>1039</v>
      </c>
      <c r="E114" s="4" t="s">
        <v>1040</v>
      </c>
      <c r="F114" s="82">
        <v>5</v>
      </c>
    </row>
    <row r="115" spans="2:6">
      <c r="D115" s="4" t="s">
        <v>1041</v>
      </c>
      <c r="E115" s="4" t="s">
        <v>1042</v>
      </c>
      <c r="F115" s="82">
        <v>4</v>
      </c>
    </row>
    <row r="116" spans="2:6">
      <c r="D116" s="4" t="s">
        <v>1043</v>
      </c>
      <c r="E116" s="4" t="s">
        <v>1044</v>
      </c>
      <c r="F116" s="82">
        <v>3</v>
      </c>
    </row>
    <row r="117" spans="2:6">
      <c r="D117" s="4" t="s">
        <v>1045</v>
      </c>
      <c r="E117" s="4" t="s">
        <v>1046</v>
      </c>
      <c r="F117" s="82">
        <v>2</v>
      </c>
    </row>
    <row r="118" spans="2:6">
      <c r="D118" s="4" t="s">
        <v>182</v>
      </c>
      <c r="E118" s="4" t="s">
        <v>182</v>
      </c>
      <c r="F118" s="82">
        <v>1</v>
      </c>
    </row>
    <row r="119" spans="2:6">
      <c r="B119" s="4" t="s">
        <v>1047</v>
      </c>
      <c r="C119" s="4" t="s">
        <v>1048</v>
      </c>
      <c r="D119" s="4" t="s">
        <v>1049</v>
      </c>
      <c r="E119" s="4" t="s">
        <v>1050</v>
      </c>
      <c r="F119" s="82">
        <v>5</v>
      </c>
    </row>
    <row r="120" spans="2:6">
      <c r="D120" s="4" t="s">
        <v>1051</v>
      </c>
      <c r="E120" s="4" t="s">
        <v>1052</v>
      </c>
      <c r="F120" s="82">
        <v>4</v>
      </c>
    </row>
    <row r="121" spans="2:6">
      <c r="D121" s="4" t="s">
        <v>1053</v>
      </c>
      <c r="E121" s="4" t="s">
        <v>1054</v>
      </c>
      <c r="F121" s="82">
        <v>3</v>
      </c>
    </row>
    <row r="122" spans="2:6">
      <c r="D122" s="4" t="s">
        <v>1055</v>
      </c>
      <c r="E122" s="4" t="s">
        <v>1056</v>
      </c>
      <c r="F122" s="82">
        <v>2</v>
      </c>
    </row>
    <row r="123" spans="2:6">
      <c r="D123" s="4" t="s">
        <v>1057</v>
      </c>
      <c r="E123" s="4" t="s">
        <v>1058</v>
      </c>
      <c r="F123" s="82">
        <v>4</v>
      </c>
    </row>
    <row r="124" spans="2:6">
      <c r="D124" s="4" t="s">
        <v>1059</v>
      </c>
      <c r="E124" s="4" t="s">
        <v>1060</v>
      </c>
      <c r="F124" s="82">
        <v>3</v>
      </c>
    </row>
    <row r="125" spans="2:6">
      <c r="D125" s="4" t="s">
        <v>1061</v>
      </c>
      <c r="E125" s="4" t="s">
        <v>1062</v>
      </c>
      <c r="F125" s="82">
        <v>2</v>
      </c>
    </row>
    <row r="126" spans="2:6">
      <c r="D126" s="4" t="s">
        <v>182</v>
      </c>
      <c r="E126" s="4" t="s">
        <v>182</v>
      </c>
      <c r="F126" s="82">
        <v>1</v>
      </c>
    </row>
    <row r="127" spans="2:6">
      <c r="B127" s="4" t="s">
        <v>1063</v>
      </c>
      <c r="C127" s="4" t="s">
        <v>74</v>
      </c>
      <c r="D127" s="4" t="s">
        <v>1064</v>
      </c>
      <c r="E127" s="4" t="s">
        <v>1065</v>
      </c>
      <c r="F127" s="82">
        <v>5</v>
      </c>
    </row>
    <row r="128" spans="2:6">
      <c r="D128" s="4" t="s">
        <v>1066</v>
      </c>
      <c r="E128" s="4" t="s">
        <v>1067</v>
      </c>
      <c r="F128" s="82">
        <v>4</v>
      </c>
    </row>
    <row r="129" spans="2:6">
      <c r="D129" s="4" t="s">
        <v>1068</v>
      </c>
      <c r="E129" s="4" t="s">
        <v>1069</v>
      </c>
      <c r="F129" s="82">
        <v>3</v>
      </c>
    </row>
    <row r="130" spans="2:6">
      <c r="D130" s="4" t="s">
        <v>182</v>
      </c>
      <c r="E130" s="4" t="s">
        <v>182</v>
      </c>
      <c r="F130" s="82">
        <v>1</v>
      </c>
    </row>
    <row r="131" spans="2:6">
      <c r="B131" s="4" t="s">
        <v>1070</v>
      </c>
      <c r="C131" s="4" t="s">
        <v>1071</v>
      </c>
      <c r="D131" s="4" t="s">
        <v>182</v>
      </c>
      <c r="E131" s="4" t="s">
        <v>1072</v>
      </c>
      <c r="F131" s="82">
        <v>5</v>
      </c>
    </row>
    <row r="132" spans="2:6">
      <c r="D132" s="4" t="s">
        <v>182</v>
      </c>
      <c r="E132" s="4" t="s">
        <v>1073</v>
      </c>
      <c r="F132" s="82">
        <v>4</v>
      </c>
    </row>
    <row r="133" spans="2:6">
      <c r="D133" s="4" t="s">
        <v>182</v>
      </c>
      <c r="E133" s="4" t="s">
        <v>1074</v>
      </c>
      <c r="F133" s="82">
        <v>3</v>
      </c>
    </row>
    <row r="134" spans="2:6">
      <c r="D134" s="4" t="s">
        <v>182</v>
      </c>
      <c r="E134" s="4" t="s">
        <v>1075</v>
      </c>
      <c r="F134" s="82">
        <v>2</v>
      </c>
    </row>
    <row r="135" spans="2:6">
      <c r="D135" s="4" t="s">
        <v>182</v>
      </c>
      <c r="E135" s="4" t="s">
        <v>1076</v>
      </c>
      <c r="F135" s="82">
        <v>1</v>
      </c>
    </row>
    <row r="136" spans="2:6">
      <c r="D136" s="4" t="s">
        <v>182</v>
      </c>
      <c r="E136" s="4" t="s">
        <v>1077</v>
      </c>
      <c r="F136" s="82">
        <v>5</v>
      </c>
    </row>
    <row r="137" spans="2:6">
      <c r="D137" s="4" t="s">
        <v>182</v>
      </c>
      <c r="E137" s="4" t="s">
        <v>1078</v>
      </c>
      <c r="F137" s="82">
        <v>4</v>
      </c>
    </row>
    <row r="138" spans="2:6">
      <c r="D138" s="4" t="s">
        <v>182</v>
      </c>
      <c r="E138" s="4" t="s">
        <v>1079</v>
      </c>
      <c r="F138" s="82">
        <v>3</v>
      </c>
    </row>
    <row r="139" spans="2:6">
      <c r="D139" s="4" t="s">
        <v>182</v>
      </c>
      <c r="E139" s="4" t="s">
        <v>1080</v>
      </c>
      <c r="F139" s="82">
        <v>2</v>
      </c>
    </row>
    <row r="140" spans="2:6">
      <c r="D140" s="4" t="s">
        <v>182</v>
      </c>
      <c r="E140" s="4" t="s">
        <v>1081</v>
      </c>
      <c r="F140" s="82">
        <v>1</v>
      </c>
    </row>
    <row r="141" spans="2:6">
      <c r="D141" s="4" t="s">
        <v>182</v>
      </c>
      <c r="E141" s="4" t="s">
        <v>182</v>
      </c>
      <c r="F141" s="82">
        <v>1</v>
      </c>
    </row>
    <row r="142" spans="2:6">
      <c r="B142" s="4" t="s">
        <v>1082</v>
      </c>
      <c r="C142" s="4" t="s">
        <v>77</v>
      </c>
      <c r="D142" s="4" t="s">
        <v>1083</v>
      </c>
      <c r="E142" s="4" t="s">
        <v>1084</v>
      </c>
      <c r="F142" s="82">
        <v>5</v>
      </c>
    </row>
    <row r="143" spans="2:6">
      <c r="D143" s="4" t="s">
        <v>1085</v>
      </c>
      <c r="E143" s="4" t="s">
        <v>1086</v>
      </c>
      <c r="F143" s="82">
        <v>4</v>
      </c>
    </row>
    <row r="144" spans="2:6">
      <c r="D144" s="4" t="s">
        <v>1087</v>
      </c>
      <c r="E144" s="4" t="s">
        <v>1088</v>
      </c>
      <c r="F144" s="82">
        <v>3</v>
      </c>
    </row>
    <row r="145" spans="2:6">
      <c r="D145" s="4" t="s">
        <v>182</v>
      </c>
      <c r="E145" s="4" t="s">
        <v>1089</v>
      </c>
      <c r="F145" s="82">
        <v>5</v>
      </c>
    </row>
    <row r="146" spans="2:6">
      <c r="D146" s="4" t="s">
        <v>182</v>
      </c>
      <c r="E146" s="4" t="s">
        <v>1090</v>
      </c>
      <c r="F146" s="82">
        <v>4</v>
      </c>
    </row>
    <row r="147" spans="2:6">
      <c r="D147" s="4" t="s">
        <v>182</v>
      </c>
      <c r="E147" s="4" t="s">
        <v>1091</v>
      </c>
      <c r="F147" s="82">
        <v>3</v>
      </c>
    </row>
    <row r="148" spans="2:6">
      <c r="D148" s="4" t="s">
        <v>182</v>
      </c>
      <c r="E148" s="4" t="s">
        <v>1092</v>
      </c>
      <c r="F148" s="82">
        <v>2</v>
      </c>
    </row>
    <row r="149" spans="2:6">
      <c r="D149" s="4" t="s">
        <v>182</v>
      </c>
      <c r="E149" s="4" t="s">
        <v>1093</v>
      </c>
      <c r="F149" s="82">
        <v>1</v>
      </c>
    </row>
    <row r="150" spans="2:6">
      <c r="D150" s="4" t="s">
        <v>182</v>
      </c>
      <c r="E150" s="4" t="s">
        <v>182</v>
      </c>
      <c r="F150" s="82">
        <v>1</v>
      </c>
    </row>
    <row r="151" spans="2:6">
      <c r="B151" s="4" t="s">
        <v>1094</v>
      </c>
      <c r="C151" s="4" t="s">
        <v>80</v>
      </c>
      <c r="D151" s="4" t="s">
        <v>1095</v>
      </c>
      <c r="E151" s="4" t="s">
        <v>1096</v>
      </c>
      <c r="F151" s="82">
        <v>5</v>
      </c>
    </row>
    <row r="152" spans="2:6">
      <c r="D152" s="4" t="s">
        <v>1097</v>
      </c>
      <c r="E152" s="4" t="s">
        <v>1098</v>
      </c>
      <c r="F152" s="82">
        <v>4</v>
      </c>
    </row>
    <row r="153" spans="2:6">
      <c r="D153" s="4" t="s">
        <v>1099</v>
      </c>
      <c r="E153" s="4" t="s">
        <v>1100</v>
      </c>
      <c r="F153" s="82">
        <v>3</v>
      </c>
    </row>
    <row r="154" spans="2:6">
      <c r="D154" s="4" t="s">
        <v>1101</v>
      </c>
      <c r="E154" s="4" t="s">
        <v>1102</v>
      </c>
      <c r="F154" s="82">
        <v>2</v>
      </c>
    </row>
    <row r="155" spans="2:6">
      <c r="D155" s="4" t="s">
        <v>182</v>
      </c>
      <c r="E155" s="4" t="s">
        <v>182</v>
      </c>
      <c r="F155" s="82">
        <v>1</v>
      </c>
    </row>
    <row r="156" spans="2:6">
      <c r="B156" s="4" t="s">
        <v>1103</v>
      </c>
      <c r="C156" s="4" t="s">
        <v>351</v>
      </c>
      <c r="D156" s="4" t="s">
        <v>182</v>
      </c>
      <c r="E156" s="4" t="s">
        <v>1104</v>
      </c>
      <c r="F156" s="82">
        <v>5</v>
      </c>
    </row>
    <row r="157" spans="2:6">
      <c r="D157" s="4" t="s">
        <v>182</v>
      </c>
      <c r="E157" s="4" t="s">
        <v>1105</v>
      </c>
      <c r="F157" s="82">
        <v>4</v>
      </c>
    </row>
    <row r="158" spans="2:6">
      <c r="D158" s="4" t="s">
        <v>182</v>
      </c>
      <c r="E158" s="4" t="s">
        <v>1106</v>
      </c>
      <c r="F158" s="82">
        <v>3</v>
      </c>
    </row>
    <row r="159" spans="2:6">
      <c r="D159" s="4" t="s">
        <v>182</v>
      </c>
      <c r="E159" s="4" t="s">
        <v>1107</v>
      </c>
      <c r="F159" s="82">
        <v>2</v>
      </c>
    </row>
    <row r="160" spans="2:6">
      <c r="D160" s="4" t="s">
        <v>182</v>
      </c>
      <c r="E160" s="4" t="s">
        <v>1108</v>
      </c>
      <c r="F160" s="82">
        <v>1</v>
      </c>
    </row>
    <row r="161" spans="2:6">
      <c r="D161" s="4" t="s">
        <v>182</v>
      </c>
      <c r="E161" s="4" t="s">
        <v>1109</v>
      </c>
      <c r="F161" s="82">
        <v>5</v>
      </c>
    </row>
    <row r="162" spans="2:6">
      <c r="D162" s="4" t="s">
        <v>182</v>
      </c>
      <c r="E162" s="4" t="s">
        <v>1110</v>
      </c>
      <c r="F162" s="82">
        <v>4</v>
      </c>
    </row>
    <row r="163" spans="2:6">
      <c r="D163" s="4" t="s">
        <v>182</v>
      </c>
      <c r="E163" s="4" t="s">
        <v>1111</v>
      </c>
      <c r="F163" s="82">
        <v>3</v>
      </c>
    </row>
    <row r="164" spans="2:6">
      <c r="D164" s="4" t="s">
        <v>182</v>
      </c>
      <c r="E164" s="4" t="s">
        <v>1112</v>
      </c>
      <c r="F164" s="82">
        <v>2</v>
      </c>
    </row>
    <row r="165" spans="2:6">
      <c r="D165" s="4" t="s">
        <v>182</v>
      </c>
      <c r="E165" s="4" t="s">
        <v>1113</v>
      </c>
      <c r="F165" s="82">
        <v>1</v>
      </c>
    </row>
    <row r="166" spans="2:6">
      <c r="D166" s="4" t="s">
        <v>182</v>
      </c>
      <c r="E166" s="4" t="s">
        <v>182</v>
      </c>
      <c r="F166" s="82">
        <v>1</v>
      </c>
    </row>
    <row r="167" spans="2:6">
      <c r="B167" s="4" t="s">
        <v>1114</v>
      </c>
      <c r="C167" s="4" t="s">
        <v>360</v>
      </c>
      <c r="D167" s="4" t="s">
        <v>182</v>
      </c>
      <c r="E167" s="4" t="s">
        <v>1115</v>
      </c>
      <c r="F167" s="82">
        <v>5</v>
      </c>
    </row>
    <row r="168" spans="2:6">
      <c r="D168" s="4" t="s">
        <v>182</v>
      </c>
      <c r="E168" s="4" t="s">
        <v>1116</v>
      </c>
      <c r="F168" s="82">
        <v>4</v>
      </c>
    </row>
    <row r="169" spans="2:6">
      <c r="D169" s="4" t="s">
        <v>182</v>
      </c>
      <c r="E169" s="4" t="s">
        <v>1117</v>
      </c>
      <c r="F169" s="82">
        <v>3</v>
      </c>
    </row>
    <row r="170" spans="2:6">
      <c r="D170" s="4" t="s">
        <v>182</v>
      </c>
      <c r="E170" s="4" t="s">
        <v>1118</v>
      </c>
      <c r="F170" s="82">
        <v>2</v>
      </c>
    </row>
    <row r="171" spans="2:6">
      <c r="D171" s="4" t="s">
        <v>182</v>
      </c>
      <c r="E171" s="4" t="s">
        <v>1119</v>
      </c>
      <c r="F171" s="82">
        <v>1</v>
      </c>
    </row>
    <row r="172" spans="2:6">
      <c r="D172" s="4" t="s">
        <v>182</v>
      </c>
      <c r="E172" s="4" t="s">
        <v>1120</v>
      </c>
      <c r="F172" s="82">
        <v>5</v>
      </c>
    </row>
    <row r="173" spans="2:6">
      <c r="D173" s="4" t="s">
        <v>182</v>
      </c>
      <c r="E173" s="4" t="s">
        <v>1121</v>
      </c>
      <c r="F173" s="82">
        <v>4</v>
      </c>
    </row>
    <row r="174" spans="2:6">
      <c r="D174" s="4" t="s">
        <v>182</v>
      </c>
      <c r="E174" s="4" t="s">
        <v>1122</v>
      </c>
      <c r="F174" s="82">
        <v>3</v>
      </c>
    </row>
    <row r="175" spans="2:6">
      <c r="D175" s="4" t="s">
        <v>182</v>
      </c>
      <c r="E175" s="4" t="s">
        <v>1123</v>
      </c>
      <c r="F175" s="82">
        <v>2</v>
      </c>
    </row>
    <row r="176" spans="2:6">
      <c r="D176" s="4" t="s">
        <v>182</v>
      </c>
      <c r="E176" s="4" t="s">
        <v>1124</v>
      </c>
      <c r="F176" s="82">
        <v>1</v>
      </c>
    </row>
    <row r="177" spans="2:6">
      <c r="D177" s="4" t="s">
        <v>182</v>
      </c>
      <c r="E177" s="4" t="s">
        <v>182</v>
      </c>
      <c r="F177" s="82">
        <v>1</v>
      </c>
    </row>
    <row r="178" spans="2:6">
      <c r="B178" s="4" t="s">
        <v>1125</v>
      </c>
      <c r="C178" s="4" t="s">
        <v>368</v>
      </c>
      <c r="D178" s="4" t="s">
        <v>182</v>
      </c>
      <c r="E178" s="4" t="s">
        <v>1126</v>
      </c>
      <c r="F178" s="82">
        <v>5</v>
      </c>
    </row>
    <row r="179" spans="2:6">
      <c r="D179" s="4" t="s">
        <v>182</v>
      </c>
      <c r="E179" s="4" t="s">
        <v>1127</v>
      </c>
      <c r="F179" s="82">
        <v>4</v>
      </c>
    </row>
    <row r="180" spans="2:6">
      <c r="D180" s="4" t="s">
        <v>182</v>
      </c>
      <c r="E180" s="4" t="s">
        <v>1128</v>
      </c>
      <c r="F180" s="82">
        <v>3</v>
      </c>
    </row>
    <row r="181" spans="2:6">
      <c r="D181" s="4" t="s">
        <v>182</v>
      </c>
      <c r="E181" s="4" t="s">
        <v>1129</v>
      </c>
      <c r="F181" s="82">
        <v>2</v>
      </c>
    </row>
    <row r="182" spans="2:6">
      <c r="D182" s="4" t="s">
        <v>182</v>
      </c>
      <c r="E182" s="4" t="s">
        <v>1130</v>
      </c>
      <c r="F182" s="82">
        <v>1</v>
      </c>
    </row>
    <row r="183" spans="2:6">
      <c r="D183" s="4" t="s">
        <v>182</v>
      </c>
      <c r="E183" s="4" t="s">
        <v>182</v>
      </c>
      <c r="F183" s="82" t="s">
        <v>182</v>
      </c>
    </row>
    <row r="184" spans="2:6">
      <c r="B184" s="4" t="s">
        <v>1131</v>
      </c>
      <c r="C184" s="4" t="s">
        <v>360</v>
      </c>
      <c r="D184" s="4" t="s">
        <v>182</v>
      </c>
      <c r="E184" s="4" t="s">
        <v>1132</v>
      </c>
      <c r="F184" s="82">
        <v>5</v>
      </c>
    </row>
    <row r="185" spans="2:6">
      <c r="D185" s="4" t="s">
        <v>182</v>
      </c>
      <c r="E185" s="4" t="s">
        <v>1133</v>
      </c>
      <c r="F185" s="82">
        <v>4</v>
      </c>
    </row>
    <row r="186" spans="2:6">
      <c r="D186" s="4" t="s">
        <v>182</v>
      </c>
      <c r="E186" s="154" t="s">
        <v>1134</v>
      </c>
      <c r="F186" s="82">
        <v>5</v>
      </c>
    </row>
    <row r="187" spans="2:6">
      <c r="D187" s="4" t="s">
        <v>182</v>
      </c>
      <c r="E187" s="154" t="s">
        <v>1135</v>
      </c>
      <c r="F187" s="82">
        <v>4</v>
      </c>
    </row>
    <row r="188" spans="2:6">
      <c r="D188" s="4" t="s">
        <v>182</v>
      </c>
      <c r="E188" s="154" t="s">
        <v>1136</v>
      </c>
      <c r="F188" s="82">
        <v>3</v>
      </c>
    </row>
    <row r="189" spans="2:6">
      <c r="D189" s="4" t="s">
        <v>182</v>
      </c>
      <c r="E189" s="154" t="s">
        <v>1137</v>
      </c>
      <c r="F189" s="82">
        <v>2</v>
      </c>
    </row>
    <row r="190" spans="2:6">
      <c r="D190" s="4" t="s">
        <v>182</v>
      </c>
      <c r="E190" s="154" t="s">
        <v>1138</v>
      </c>
      <c r="F190" s="82">
        <v>1</v>
      </c>
    </row>
    <row r="191" spans="2:6">
      <c r="D191" s="4" t="s">
        <v>182</v>
      </c>
      <c r="E191" s="4" t="s">
        <v>1139</v>
      </c>
      <c r="F191" s="82">
        <v>5</v>
      </c>
    </row>
    <row r="192" spans="2:6">
      <c r="D192" s="4" t="s">
        <v>182</v>
      </c>
      <c r="E192" s="4" t="s">
        <v>1140</v>
      </c>
      <c r="F192" s="82">
        <v>4</v>
      </c>
    </row>
    <row r="193" spans="2:6">
      <c r="D193" s="4" t="s">
        <v>182</v>
      </c>
      <c r="E193" s="4" t="s">
        <v>1141</v>
      </c>
      <c r="F193" s="82">
        <v>3</v>
      </c>
    </row>
    <row r="194" spans="2:6">
      <c r="D194" s="4" t="s">
        <v>182</v>
      </c>
      <c r="E194" s="4" t="s">
        <v>1142</v>
      </c>
      <c r="F194" s="82">
        <v>2</v>
      </c>
    </row>
    <row r="195" spans="2:6">
      <c r="D195" s="4" t="s">
        <v>182</v>
      </c>
      <c r="E195" s="4" t="s">
        <v>1143</v>
      </c>
      <c r="F195" s="82">
        <v>1</v>
      </c>
    </row>
    <row r="196" spans="2:6">
      <c r="D196" s="4" t="s">
        <v>182</v>
      </c>
      <c r="E196" s="4" t="s">
        <v>182</v>
      </c>
      <c r="F196" s="82">
        <v>1</v>
      </c>
    </row>
    <row r="197" spans="2:6">
      <c r="B197" s="4" t="s">
        <v>1144</v>
      </c>
      <c r="C197" s="4" t="s">
        <v>385</v>
      </c>
      <c r="D197" s="4" t="s">
        <v>182</v>
      </c>
      <c r="E197" s="4" t="s">
        <v>391</v>
      </c>
      <c r="F197" s="82">
        <v>5</v>
      </c>
    </row>
    <row r="198" spans="2:6">
      <c r="D198" s="4" t="s">
        <v>182</v>
      </c>
      <c r="E198" s="4" t="s">
        <v>1145</v>
      </c>
      <c r="F198" s="82">
        <v>4</v>
      </c>
    </row>
    <row r="199" spans="2:6">
      <c r="D199" s="4" t="s">
        <v>182</v>
      </c>
      <c r="E199" s="154" t="s">
        <v>1146</v>
      </c>
      <c r="F199" s="82">
        <v>3</v>
      </c>
    </row>
    <row r="200" spans="2:6">
      <c r="D200" s="4" t="s">
        <v>182</v>
      </c>
      <c r="E200" s="154" t="s">
        <v>1147</v>
      </c>
      <c r="F200" s="82">
        <v>2</v>
      </c>
    </row>
    <row r="201" spans="2:6">
      <c r="D201" s="4" t="s">
        <v>182</v>
      </c>
      <c r="E201" s="154" t="s">
        <v>1148</v>
      </c>
      <c r="F201" s="82">
        <v>1</v>
      </c>
    </row>
    <row r="202" spans="2:6">
      <c r="D202" s="4" t="s">
        <v>182</v>
      </c>
      <c r="E202" s="154" t="s">
        <v>182</v>
      </c>
      <c r="F202" s="82">
        <v>1</v>
      </c>
    </row>
    <row r="203" spans="2:6">
      <c r="B203" s="4" t="s">
        <v>1149</v>
      </c>
      <c r="C203" s="4" t="s">
        <v>1150</v>
      </c>
      <c r="D203" s="4" t="s">
        <v>1151</v>
      </c>
      <c r="E203" s="4" t="s">
        <v>1152</v>
      </c>
      <c r="F203" s="82">
        <v>5</v>
      </c>
    </row>
    <row r="204" spans="2:6">
      <c r="D204" s="4" t="s">
        <v>182</v>
      </c>
      <c r="E204" s="4" t="s">
        <v>1153</v>
      </c>
      <c r="F204" s="82">
        <v>4</v>
      </c>
    </row>
    <row r="205" spans="2:6">
      <c r="D205" s="4" t="s">
        <v>182</v>
      </c>
      <c r="E205" s="4" t="s">
        <v>1154</v>
      </c>
      <c r="F205" s="82">
        <v>3</v>
      </c>
    </row>
    <row r="206" spans="2:6">
      <c r="D206" s="4" t="s">
        <v>182</v>
      </c>
      <c r="E206" s="4" t="s">
        <v>1155</v>
      </c>
      <c r="F206" s="82">
        <v>2</v>
      </c>
    </row>
    <row r="207" spans="2:6">
      <c r="D207" s="4" t="s">
        <v>182</v>
      </c>
      <c r="E207" s="4" t="s">
        <v>182</v>
      </c>
      <c r="F207" s="82">
        <v>1</v>
      </c>
    </row>
    <row r="209" spans="2:6">
      <c r="B209" s="153" t="s">
        <v>1156</v>
      </c>
    </row>
    <row r="210" spans="2:6">
      <c r="B210" s="153"/>
    </row>
    <row r="211" spans="2:6">
      <c r="B211" s="4" t="s">
        <v>1157</v>
      </c>
    </row>
    <row r="212" spans="2:6">
      <c r="C212" s="4" t="s">
        <v>1158</v>
      </c>
      <c r="D212" s="4" t="s">
        <v>1159</v>
      </c>
      <c r="E212" s="4" t="s">
        <v>1160</v>
      </c>
      <c r="F212" s="82" t="s">
        <v>1161</v>
      </c>
    </row>
    <row r="213" spans="2:6">
      <c r="B213" s="4" t="s">
        <v>1162</v>
      </c>
      <c r="C213" s="4" t="s">
        <v>1163</v>
      </c>
      <c r="D213" s="4" t="s">
        <v>1164</v>
      </c>
      <c r="E213" s="4" t="s">
        <v>1165</v>
      </c>
      <c r="F213" s="82">
        <v>1</v>
      </c>
    </row>
    <row r="214" spans="2:6">
      <c r="B214" s="4" t="s">
        <v>1166</v>
      </c>
      <c r="C214" s="4" t="s">
        <v>1167</v>
      </c>
      <c r="D214" s="4" t="s">
        <v>1168</v>
      </c>
      <c r="E214" s="4" t="s">
        <v>1169</v>
      </c>
      <c r="F214" s="82">
        <v>2</v>
      </c>
    </row>
    <row r="215" spans="2:6">
      <c r="B215" s="4" t="s">
        <v>1170</v>
      </c>
      <c r="C215" s="4" t="s">
        <v>1171</v>
      </c>
      <c r="D215" s="4" t="s">
        <v>1172</v>
      </c>
      <c r="E215" s="4" t="s">
        <v>1173</v>
      </c>
      <c r="F215" s="82">
        <v>3</v>
      </c>
    </row>
    <row r="216" spans="2:6">
      <c r="B216" s="4" t="s">
        <v>1174</v>
      </c>
      <c r="C216" s="4" t="s">
        <v>1175</v>
      </c>
      <c r="D216" s="4" t="s">
        <v>1176</v>
      </c>
      <c r="E216" s="4" t="s">
        <v>1177</v>
      </c>
      <c r="F216" s="82">
        <v>4</v>
      </c>
    </row>
    <row r="217" spans="2:6">
      <c r="B217" s="4" t="s">
        <v>1178</v>
      </c>
      <c r="C217" s="4" t="s">
        <v>1179</v>
      </c>
      <c r="D217" s="4" t="s">
        <v>1180</v>
      </c>
      <c r="E217" s="4" t="s">
        <v>1181</v>
      </c>
      <c r="F217" s="82">
        <v>5</v>
      </c>
    </row>
    <row r="219" spans="2:6">
      <c r="B219" s="4" t="s">
        <v>511</v>
      </c>
    </row>
    <row r="220" spans="2:6">
      <c r="C220" s="4" t="s">
        <v>1158</v>
      </c>
      <c r="D220" s="4" t="s">
        <v>1159</v>
      </c>
      <c r="E220" s="4" t="s">
        <v>1182</v>
      </c>
    </row>
    <row r="221" spans="2:6">
      <c r="B221" s="4" t="s">
        <v>1162</v>
      </c>
      <c r="C221" s="4" t="s">
        <v>1163</v>
      </c>
      <c r="D221" s="4" t="s">
        <v>1164</v>
      </c>
      <c r="E221" s="4" t="s">
        <v>1183</v>
      </c>
      <c r="F221" s="82">
        <v>1</v>
      </c>
    </row>
    <row r="222" spans="2:6">
      <c r="B222" s="4" t="s">
        <v>1166</v>
      </c>
      <c r="C222" s="4" t="s">
        <v>1167</v>
      </c>
      <c r="D222" s="4" t="s">
        <v>1168</v>
      </c>
      <c r="E222" s="4" t="s">
        <v>1184</v>
      </c>
      <c r="F222" s="82">
        <v>2</v>
      </c>
    </row>
    <row r="223" spans="2:6">
      <c r="B223" s="4" t="s">
        <v>1170</v>
      </c>
      <c r="C223" s="4" t="s">
        <v>1171</v>
      </c>
      <c r="D223" s="4" t="s">
        <v>1172</v>
      </c>
      <c r="E223" s="4" t="s">
        <v>1185</v>
      </c>
      <c r="F223" s="82">
        <v>3</v>
      </c>
    </row>
    <row r="224" spans="2:6">
      <c r="B224" s="4" t="s">
        <v>1174</v>
      </c>
      <c r="C224" s="4" t="s">
        <v>1175</v>
      </c>
      <c r="D224" s="4" t="s">
        <v>1176</v>
      </c>
      <c r="E224" s="4" t="s">
        <v>1186</v>
      </c>
      <c r="F224" s="82">
        <v>4</v>
      </c>
    </row>
    <row r="225" spans="2:6">
      <c r="B225" s="4" t="s">
        <v>1178</v>
      </c>
      <c r="C225" s="4" t="s">
        <v>1179</v>
      </c>
      <c r="D225" s="4" t="s">
        <v>1180</v>
      </c>
      <c r="E225" s="4" t="s">
        <v>1187</v>
      </c>
      <c r="F225" s="82">
        <v>5</v>
      </c>
    </row>
    <row r="227" spans="2:6">
      <c r="B227" s="4" t="s">
        <v>512</v>
      </c>
    </row>
    <row r="228" spans="2:6">
      <c r="C228" s="4" t="s">
        <v>1158</v>
      </c>
      <c r="D228" s="4" t="s">
        <v>1159</v>
      </c>
      <c r="E228" s="4" t="s">
        <v>1160</v>
      </c>
    </row>
    <row r="229" spans="2:6">
      <c r="B229" s="4" t="s">
        <v>1162</v>
      </c>
      <c r="C229" s="4" t="s">
        <v>1163</v>
      </c>
      <c r="D229" s="4" t="s">
        <v>1164</v>
      </c>
      <c r="E229" s="4" t="s">
        <v>1188</v>
      </c>
      <c r="F229" s="82">
        <v>1</v>
      </c>
    </row>
    <row r="230" spans="2:6">
      <c r="B230" s="4" t="s">
        <v>1166</v>
      </c>
      <c r="C230" s="4" t="s">
        <v>1167</v>
      </c>
      <c r="D230" s="4" t="s">
        <v>1168</v>
      </c>
      <c r="E230" s="4" t="s">
        <v>1189</v>
      </c>
      <c r="F230" s="82">
        <v>2</v>
      </c>
    </row>
    <row r="231" spans="2:6">
      <c r="B231" s="4" t="s">
        <v>1170</v>
      </c>
      <c r="C231" s="4" t="s">
        <v>1171</v>
      </c>
      <c r="D231" s="4" t="s">
        <v>1172</v>
      </c>
      <c r="E231" s="4" t="s">
        <v>1190</v>
      </c>
      <c r="F231" s="82">
        <v>3</v>
      </c>
    </row>
    <row r="232" spans="2:6">
      <c r="B232" s="4" t="s">
        <v>1174</v>
      </c>
      <c r="C232" s="4" t="s">
        <v>1175</v>
      </c>
      <c r="D232" s="4" t="s">
        <v>1176</v>
      </c>
      <c r="E232" s="4" t="s">
        <v>1191</v>
      </c>
      <c r="F232" s="82">
        <v>4</v>
      </c>
    </row>
    <row r="233" spans="2:6">
      <c r="B233" s="4" t="s">
        <v>1178</v>
      </c>
      <c r="C233" s="4" t="s">
        <v>1179</v>
      </c>
      <c r="D233" s="4" t="s">
        <v>1180</v>
      </c>
      <c r="E233" s="4" t="s">
        <v>1192</v>
      </c>
      <c r="F233" s="8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6a58fa-c912-453a-987f-241db22408e3" xsi:nil="true"/>
    <lcf76f155ced4ddcb4097134ff3c332f xmlns="551ca053-ff23-49fe-a795-38e47595675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4682464D679364DAF2A932FCADDED2C" ma:contentTypeVersion="13" ma:contentTypeDescription="새 문서를 만듭니다." ma:contentTypeScope="" ma:versionID="354b17cda85031869dc96e83ec232bf8">
  <xsd:schema xmlns:xsd="http://www.w3.org/2001/XMLSchema" xmlns:xs="http://www.w3.org/2001/XMLSchema" xmlns:p="http://schemas.microsoft.com/office/2006/metadata/properties" xmlns:ns2="551ca053-ff23-49fe-a795-38e47595675b" xmlns:ns3="e36a58fa-c912-453a-987f-241db22408e3" targetNamespace="http://schemas.microsoft.com/office/2006/metadata/properties" ma:root="true" ma:fieldsID="89e89646afb28bc1cec640551e63c07b" ns2:_="" ns3:_="">
    <xsd:import namespace="551ca053-ff23-49fe-a795-38e47595675b"/>
    <xsd:import namespace="e36a58fa-c912-453a-987f-241db2240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ca053-ff23-49fe-a795-38e4759567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3fba36a0-4743-4c5a-89e2-d5a5a43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a58fa-c912-453a-987f-241db22408e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7b4bdeb-a906-4f2d-8779-45aa2d41f6be}" ma:internalName="TaxCatchAll" ma:showField="CatchAllData" ma:web="e36a58fa-c912-453a-987f-241db2240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9B770E-0BC9-40FF-9A1F-DD2E6E83AB43}"/>
</file>

<file path=customXml/itemProps2.xml><?xml version="1.0" encoding="utf-8"?>
<ds:datastoreItem xmlns:ds="http://schemas.openxmlformats.org/officeDocument/2006/customXml" ds:itemID="{7D8FFE67-1992-4D40-9B9C-53E379DF6CA1}"/>
</file>

<file path=customXml/itemProps3.xml><?xml version="1.0" encoding="utf-8"?>
<ds:datastoreItem xmlns:ds="http://schemas.openxmlformats.org/officeDocument/2006/customXml" ds:itemID="{C34CBF38-7CA1-45D0-B5C4-D96DEFD3E99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김연주(YeonJu Kim)/SHE팀/파주에너지서비스</cp:lastModifiedBy>
  <cp:revision/>
  <dcterms:created xsi:type="dcterms:W3CDTF">2026-04-07T02:47:21Z</dcterms:created>
  <dcterms:modified xsi:type="dcterms:W3CDTF">2026-07-30T04:18:53Z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0x01010024682464D679364DAF2A932FCADDED2C</vt:lpwstr>
  </property>
  <property fmtid="{D5CDD505-2E9C-101B-9397-08002B2CF9AE}" pid="3" name="MediaServiceImageTags">
    <vt:lpwstr/>
  </property>
</Properties>
</file>