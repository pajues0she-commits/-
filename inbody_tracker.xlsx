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사용안내" sheetId="1" state="visible" r:id="rId1"/>
    <sheet name="인바디기록" sheetId="2" state="visible" r:id="rId2"/>
    <sheet name="요약" sheetId="3" state="visible" r:id="rId3"/>
    <sheet name="그래프" sheetId="4" state="visible" r:id="rId4"/>
  </sheets>
  <definedNames>
    <definedName name="_xlnm._FilterDatabase" localSheetId="1" hidden="1">'인바디기록'!$A$3:$Q$103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1F2933"/>
      <sz val="11"/>
    </font>
    <font>
      <name val="Arial"/>
      <b val="1"/>
      <color rgb="001F3A5F"/>
      <sz val="13"/>
    </font>
    <font>
      <name val="Arial"/>
      <b val="1"/>
      <color rgb="00FFFFFF"/>
      <sz val="11"/>
    </font>
    <font>
      <name val="Arial"/>
      <b val="1"/>
      <color rgb="001F2933"/>
      <sz val="11"/>
    </font>
    <font>
      <name val="Arial"/>
      <color rgb="006B7785"/>
      <sz val="11"/>
    </font>
    <font>
      <name val="Arial"/>
      <color rgb="006B7785"/>
      <sz val="10"/>
    </font>
    <font>
      <name val="Arial"/>
      <b val="1"/>
      <color rgb="001F3A5F"/>
      <sz val="15"/>
    </font>
    <font>
      <name val="Arial"/>
      <b val="1"/>
      <color rgb="001F3A5F"/>
      <sz val="11"/>
    </font>
    <font>
      <name val="Arial"/>
      <i val="1"/>
      <color rgb="006B7785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DF2F7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7D0DA"/>
      </left>
      <right style="thin">
        <color rgb="00C7D0DA"/>
      </right>
      <top style="thin">
        <color rgb="00C7D0DA"/>
      </top>
      <bottom style="thin">
        <color rgb="00C7D0D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2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/>
    </xf>
    <xf numFmtId="165" fontId="10" fillId="4" borderId="1" applyAlignment="1" pivotButton="0" quotePrefix="0" xfId="0">
      <alignment horizontal="center"/>
    </xf>
    <xf numFmtId="2" fontId="10" fillId="4" borderId="1" applyAlignment="1" pivotButton="0" quotePrefix="0" xfId="0">
      <alignment horizontal="center"/>
    </xf>
    <xf numFmtId="1" fontId="10" fillId="4" borderId="1" applyAlignment="1" pivotButton="0" quotePrefix="0" xfId="0">
      <alignment horizontal="center"/>
    </xf>
    <xf numFmtId="3" fontId="10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2" fontId="2" fillId="4" borderId="1" applyAlignment="1" pivotButton="0" quotePrefix="0" xfId="0">
      <alignment horizontal="center"/>
    </xf>
    <xf numFmtId="1" fontId="2" fillId="4" borderId="1" applyAlignment="1" pivotButton="0" quotePrefix="0" xfId="0">
      <alignment horizontal="center"/>
    </xf>
    <xf numFmtId="3" fontId="2" fillId="4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체중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'인바디기록'!B3</f>
            </strRef>
          </tx>
          <spPr>
            <a:ln w="22000">
              <a:solidFill>
                <a:srgbClr val="2F6FB3"/>
              </a:solidFill>
              <a:prstDash val="solid"/>
            </a:ln>
          </spPr>
          <marker>
            <symbol val="circle"/>
            <size val="6"/>
            <spPr>
              <a:solidFill>
                <a:srgbClr val="2F6FB3"/>
              </a:solidFill>
              <a:ln>
                <a:solidFill>
                  <a:srgbClr val="2F6FB3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'인바디기록'!$B$4:$B$103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kg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골격근량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'인바디기록'!C3</f>
            </strRef>
          </tx>
          <spPr>
            <a:ln w="22000">
              <a:solidFill>
                <a:srgbClr val="2F6FB3"/>
              </a:solidFill>
              <a:prstDash val="solid"/>
            </a:ln>
          </spPr>
          <marker>
            <symbol val="circle"/>
            <size val="6"/>
            <spPr>
              <a:solidFill>
                <a:srgbClr val="2F6FB3"/>
              </a:solidFill>
              <a:ln>
                <a:solidFill>
                  <a:srgbClr val="2F6FB3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'인바디기록'!$C$4:$C$103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kg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체지방량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'인바디기록'!D3</f>
            </strRef>
          </tx>
          <spPr>
            <a:ln w="22000">
              <a:solidFill>
                <a:srgbClr val="D06B2C"/>
              </a:solidFill>
              <a:prstDash val="solid"/>
            </a:ln>
          </spPr>
          <marker>
            <symbol val="circle"/>
            <size val="6"/>
            <spPr>
              <a:solidFill>
                <a:srgbClr val="D06B2C"/>
              </a:solidFill>
              <a:ln>
                <a:solidFill>
                  <a:srgbClr val="D06B2C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'인바디기록'!$D$4:$D$103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kg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체지방률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'인바디기록'!E3</f>
            </strRef>
          </tx>
          <spPr>
            <a:ln w="22000">
              <a:solidFill>
                <a:srgbClr val="D06B2C"/>
              </a:solidFill>
              <a:prstDash val="solid"/>
            </a:ln>
          </spPr>
          <marker>
            <symbol val="circle"/>
            <size val="6"/>
            <spPr>
              <a:solidFill>
                <a:srgbClr val="D06B2C"/>
              </a:solidFill>
              <a:ln>
                <a:solidFill>
                  <a:srgbClr val="D06B2C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'인바디기록'!$E$4:$E$103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내장지방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'인바디기록'!F3</f>
            </strRef>
          </tx>
          <spPr>
            <a:ln w="22000">
              <a:solidFill>
                <a:srgbClr val="D06B2C"/>
              </a:solidFill>
              <a:prstDash val="solid"/>
            </a:ln>
          </spPr>
          <marker>
            <symbol val="circle"/>
            <size val="6"/>
            <spPr>
              <a:solidFill>
                <a:srgbClr val="D06B2C"/>
              </a:solidFill>
              <a:ln>
                <a:solidFill>
                  <a:srgbClr val="D06B2C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'인바디기록'!$F$4:$F$103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레벨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복부지방률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'인바디기록'!G3</f>
            </strRef>
          </tx>
          <spPr>
            <a:ln w="22000">
              <a:solidFill>
                <a:srgbClr val="D06B2C"/>
              </a:solidFill>
              <a:prstDash val="solid"/>
            </a:ln>
          </spPr>
          <marker>
            <symbol val="circle"/>
            <size val="6"/>
            <spPr>
              <a:solidFill>
                <a:srgbClr val="D06B2C"/>
              </a:solidFill>
              <a:ln>
                <a:solidFill>
                  <a:srgbClr val="D06B2C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'인바디기록'!$G$4:$G$103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WHR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신체발달점수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'인바디기록'!H3</f>
            </strRef>
          </tx>
          <spPr>
            <a:ln w="22000">
              <a:solidFill>
                <a:srgbClr val="3E8E7E"/>
              </a:solidFill>
              <a:prstDash val="solid"/>
            </a:ln>
          </spPr>
          <marker>
            <symbol val="circle"/>
            <size val="6"/>
            <spPr>
              <a:solidFill>
                <a:srgbClr val="3E8E7E"/>
              </a:solidFill>
              <a:ln>
                <a:solidFill>
                  <a:srgbClr val="3E8E7E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'인바디기록'!$H$4:$H$103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점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기초대사량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'인바디기록'!I3</f>
            </strRef>
          </tx>
          <spPr>
            <a:ln w="22000">
              <a:solidFill>
                <a:srgbClr val="3E8E7E"/>
              </a:solidFill>
              <a:prstDash val="solid"/>
            </a:ln>
          </spPr>
          <marker>
            <symbol val="circle"/>
            <size val="6"/>
            <spPr>
              <a:solidFill>
                <a:srgbClr val="3E8E7E"/>
              </a:solidFill>
              <a:ln>
                <a:solidFill>
                  <a:srgbClr val="3E8E7E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'인바디기록'!$I$4:$I$103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kcal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겉둘레 - 가슴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'인바디기록'!J3</f>
            </strRef>
          </tx>
          <spPr>
            <a:ln w="22000">
              <a:solidFill>
                <a:srgbClr val="7A5EA8"/>
              </a:solidFill>
              <a:prstDash val="solid"/>
            </a:ln>
          </spPr>
          <marker>
            <symbol val="circle"/>
            <size val="6"/>
            <spPr>
              <a:solidFill>
                <a:srgbClr val="7A5EA8"/>
              </a:solidFill>
              <a:ln>
                <a:solidFill>
                  <a:srgbClr val="7A5EA8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'인바디기록'!$J$4:$J$103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cm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겉둘레 - 복부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'인바디기록'!K3</f>
            </strRef>
          </tx>
          <spPr>
            <a:ln w="22000">
              <a:solidFill>
                <a:srgbClr val="7A5EA8"/>
              </a:solidFill>
              <a:prstDash val="solid"/>
            </a:ln>
          </spPr>
          <marker>
            <symbol val="circle"/>
            <size val="6"/>
            <spPr>
              <a:solidFill>
                <a:srgbClr val="7A5EA8"/>
              </a:solidFill>
              <a:ln>
                <a:solidFill>
                  <a:srgbClr val="7A5EA8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'인바디기록'!$K$4:$K$103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cm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겉둘레 - 오른팔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'인바디기록'!L3</f>
            </strRef>
          </tx>
          <spPr>
            <a:ln w="22000">
              <a:solidFill>
                <a:srgbClr val="7A5EA8"/>
              </a:solidFill>
              <a:prstDash val="solid"/>
            </a:ln>
          </spPr>
          <marker>
            <symbol val="circle"/>
            <size val="6"/>
            <spPr>
              <a:solidFill>
                <a:srgbClr val="7A5EA8"/>
              </a:solidFill>
              <a:ln>
                <a:solidFill>
                  <a:srgbClr val="7A5EA8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'인바디기록'!$L$4:$L$103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cm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겉둘레 - 왼팔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'인바디기록'!M3</f>
            </strRef>
          </tx>
          <spPr>
            <a:ln w="22000">
              <a:solidFill>
                <a:srgbClr val="7A5EA8"/>
              </a:solidFill>
              <a:prstDash val="solid"/>
            </a:ln>
          </spPr>
          <marker>
            <symbol val="circle"/>
            <size val="6"/>
            <spPr>
              <a:solidFill>
                <a:srgbClr val="7A5EA8"/>
              </a:solidFill>
              <a:ln>
                <a:solidFill>
                  <a:srgbClr val="7A5EA8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'인바디기록'!$M$4:$M$103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cm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겉둘레 - 오른허벅지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'인바디기록'!N3</f>
            </strRef>
          </tx>
          <spPr>
            <a:ln w="22000">
              <a:solidFill>
                <a:srgbClr val="7A5EA8"/>
              </a:solidFill>
              <a:prstDash val="solid"/>
            </a:ln>
          </spPr>
          <marker>
            <symbol val="circle"/>
            <size val="6"/>
            <spPr>
              <a:solidFill>
                <a:srgbClr val="7A5EA8"/>
              </a:solidFill>
              <a:ln>
                <a:solidFill>
                  <a:srgbClr val="7A5EA8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'인바디기록'!$N$4:$N$103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cm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겉둘레 - 왼허벅지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'인바디기록'!O3</f>
            </strRef>
          </tx>
          <spPr>
            <a:ln w="22000">
              <a:solidFill>
                <a:srgbClr val="7A5EA8"/>
              </a:solidFill>
              <a:prstDash val="solid"/>
            </a:ln>
          </spPr>
          <marker>
            <symbol val="circle"/>
            <size val="6"/>
            <spPr>
              <a:solidFill>
                <a:srgbClr val="7A5EA8"/>
              </a:solidFill>
              <a:ln>
                <a:solidFill>
                  <a:srgbClr val="7A5EA8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'인바디기록'!$O$4:$O$103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cm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겉둘레 - 목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'인바디기록'!P3</f>
            </strRef>
          </tx>
          <spPr>
            <a:ln w="22000">
              <a:solidFill>
                <a:srgbClr val="7A5EA8"/>
              </a:solidFill>
              <a:prstDash val="solid"/>
            </a:ln>
          </spPr>
          <marker>
            <symbol val="circle"/>
            <size val="6"/>
            <spPr>
              <a:solidFill>
                <a:srgbClr val="7A5EA8"/>
              </a:solidFill>
              <a:ln>
                <a:solidFill>
                  <a:srgbClr val="7A5EA8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'인바디기록'!$P$4:$P$103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cm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겉둘레 - 엉덩이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'인바디기록'!Q3</f>
            </strRef>
          </tx>
          <spPr>
            <a:ln w="22000">
              <a:solidFill>
                <a:srgbClr val="7A5EA8"/>
              </a:solidFill>
              <a:prstDash val="solid"/>
            </a:ln>
          </spPr>
          <marker>
            <symbol val="circle"/>
            <size val="6"/>
            <spPr>
              <a:solidFill>
                <a:srgbClr val="7A5EA8"/>
              </a:solidFill>
              <a:ln>
                <a:solidFill>
                  <a:srgbClr val="7A5EA8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'인바디기록'!$Q$4:$Q$103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cm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겉둘레 종합 비교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'인바디기록'!J3</f>
            </strRef>
          </tx>
          <spPr>
            <a:ln w="22000">
              <a:solidFill>
                <a:srgbClr val="7A5EA8"/>
              </a:solidFill>
              <a:prstDash val="solid"/>
            </a:ln>
          </spPr>
          <marker>
            <symbol val="circle"/>
            <size val="6"/>
            <spPr>
              <a:solidFill>
                <a:srgbClr val="7A5EA8"/>
              </a:solidFill>
              <a:ln>
                <a:solidFill>
                  <a:srgbClr val="7A5EA8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'인바디기록'!$J$4:$J$103</f>
            </numRef>
          </val>
          <smooth val="0"/>
        </ser>
        <ser>
          <idx val="1"/>
          <order val="1"/>
          <tx>
            <strRef>
              <f>'인바디기록'!K3</f>
            </strRef>
          </tx>
          <spPr>
            <a:ln w="22000">
              <a:solidFill>
                <a:srgbClr val="D06B2C"/>
              </a:solidFill>
              <a:prstDash val="solid"/>
            </a:ln>
          </spPr>
          <marker>
            <symbol val="circle"/>
            <size val="6"/>
            <spPr>
              <a:solidFill>
                <a:srgbClr val="D06B2C"/>
              </a:solidFill>
              <a:ln>
                <a:solidFill>
                  <a:srgbClr val="D06B2C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'인바디기록'!$K$4:$K$103</f>
            </numRef>
          </val>
          <smooth val="0"/>
        </ser>
        <ser>
          <idx val="2"/>
          <order val="2"/>
          <tx>
            <strRef>
              <f>'인바디기록'!L3</f>
            </strRef>
          </tx>
          <spPr>
            <a:ln w="22000">
              <a:solidFill>
                <a:srgbClr val="3E8E7E"/>
              </a:solidFill>
              <a:prstDash val="solid"/>
            </a:ln>
          </spPr>
          <marker>
            <symbol val="circle"/>
            <size val="6"/>
            <spPr>
              <a:solidFill>
                <a:srgbClr val="3E8E7E"/>
              </a:solidFill>
              <a:ln>
                <a:solidFill>
                  <a:srgbClr val="3E8E7E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'인바디기록'!$L$4:$L$103</f>
            </numRef>
          </val>
          <smooth val="0"/>
        </ser>
        <ser>
          <idx val="3"/>
          <order val="3"/>
          <tx>
            <strRef>
              <f>'인바디기록'!M3</f>
            </strRef>
          </tx>
          <spPr>
            <a:ln w="22000">
              <a:solidFill>
                <a:srgbClr val="7A5EA8"/>
              </a:solidFill>
              <a:prstDash val="solid"/>
            </a:ln>
          </spPr>
          <marker>
            <symbol val="circle"/>
            <size val="6"/>
            <spPr>
              <a:solidFill>
                <a:srgbClr val="7A5EA8"/>
              </a:solidFill>
              <a:ln>
                <a:solidFill>
                  <a:srgbClr val="7A5EA8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'인바디기록'!$M$4:$M$103</f>
            </numRef>
          </val>
          <smooth val="0"/>
        </ser>
        <ser>
          <idx val="4"/>
          <order val="4"/>
          <tx>
            <strRef>
              <f>'인바디기록'!N3</f>
            </strRef>
          </tx>
          <spPr>
            <a:ln w="22000">
              <a:solidFill>
                <a:srgbClr val="B23A48"/>
              </a:solidFill>
              <a:prstDash val="solid"/>
            </a:ln>
          </spPr>
          <marker>
            <symbol val="circle"/>
            <size val="6"/>
            <spPr>
              <a:solidFill>
                <a:srgbClr val="B23A48"/>
              </a:solidFill>
              <a:ln>
                <a:solidFill>
                  <a:srgbClr val="B23A48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'인바디기록'!$N$4:$N$103</f>
            </numRef>
          </val>
          <smooth val="0"/>
        </ser>
        <ser>
          <idx val="5"/>
          <order val="5"/>
          <tx>
            <strRef>
              <f>'인바디기록'!O3</f>
            </strRef>
          </tx>
          <spPr>
            <a:ln w="22000">
              <a:solidFill>
                <a:srgbClr val="2F6FB3"/>
              </a:solidFill>
              <a:prstDash val="solid"/>
            </a:ln>
          </spPr>
          <marker>
            <symbol val="circle"/>
            <size val="6"/>
            <spPr>
              <a:solidFill>
                <a:srgbClr val="2F6FB3"/>
              </a:solidFill>
              <a:ln>
                <a:solidFill>
                  <a:srgbClr val="2F6FB3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'인바디기록'!$O$4:$O$103</f>
            </numRef>
          </val>
          <smooth val="0"/>
        </ser>
        <ser>
          <idx val="6"/>
          <order val="6"/>
          <tx>
            <strRef>
              <f>'인바디기록'!P3</f>
            </strRef>
          </tx>
          <spPr>
            <a:ln w="22000">
              <a:solidFill>
                <a:srgbClr val="8A8F98"/>
              </a:solidFill>
              <a:prstDash val="solid"/>
            </a:ln>
          </spPr>
          <marker>
            <symbol val="circle"/>
            <size val="6"/>
            <spPr>
              <a:solidFill>
                <a:srgbClr val="8A8F98"/>
              </a:solidFill>
              <a:ln>
                <a:solidFill>
                  <a:srgbClr val="8A8F98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'인바디기록'!$P$4:$P$103</f>
            </numRef>
          </val>
          <smooth val="0"/>
        </ser>
        <ser>
          <idx val="7"/>
          <order val="7"/>
          <tx>
            <strRef>
              <f>'인바디기록'!Q3</f>
            </strRef>
          </tx>
          <spPr>
            <a:ln w="22000">
              <a:solidFill>
                <a:srgbClr val="C9A227"/>
              </a:solidFill>
              <a:prstDash val="solid"/>
            </a:ln>
          </spPr>
          <marker>
            <symbol val="circle"/>
            <size val="6"/>
            <spPr>
              <a:solidFill>
                <a:srgbClr val="C9A227"/>
              </a:solidFill>
              <a:ln>
                <a:solidFill>
                  <a:srgbClr val="C9A227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'인바디기록'!$Q$4:$Q$103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cm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체중 / 골격근량 / 체지방량 비교</a:t>
            </a:r>
          </a:p>
        </rich>
      </tx>
    </title>
    <plotArea>
      <lineChart>
        <grouping val="standard"/>
        <ser>
          <idx val="0"/>
          <order val="0"/>
          <tx>
            <strRef>
              <f>'인바디기록'!B3</f>
            </strRef>
          </tx>
          <spPr>
            <a:ln w="22000">
              <a:solidFill>
                <a:srgbClr val="2F6FB3"/>
              </a:solidFill>
              <a:prstDash val="solid"/>
            </a:ln>
          </spPr>
          <marker>
            <symbol val="circle"/>
            <size val="6"/>
            <spPr>
              <a:solidFill>
                <a:srgbClr val="2F6FB3"/>
              </a:solidFill>
              <a:ln>
                <a:solidFill>
                  <a:srgbClr val="2F6FB3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'인바디기록'!$B$4:$B$103</f>
            </numRef>
          </val>
          <smooth val="0"/>
        </ser>
        <ser>
          <idx val="1"/>
          <order val="1"/>
          <tx>
            <strRef>
              <f>'인바디기록'!C3</f>
            </strRef>
          </tx>
          <spPr>
            <a:ln w="22000">
              <a:solidFill>
                <a:srgbClr val="D06B2C"/>
              </a:solidFill>
              <a:prstDash val="solid"/>
            </a:ln>
          </spPr>
          <marker>
            <symbol val="circle"/>
            <size val="6"/>
            <spPr>
              <a:solidFill>
                <a:srgbClr val="D06B2C"/>
              </a:solidFill>
              <a:ln>
                <a:solidFill>
                  <a:srgbClr val="D06B2C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'인바디기록'!$C$4:$C$103</f>
            </numRef>
          </val>
          <smooth val="0"/>
        </ser>
        <ser>
          <idx val="2"/>
          <order val="2"/>
          <tx>
            <strRef>
              <f>'인바디기록'!D3</f>
            </strRef>
          </tx>
          <spPr>
            <a:ln w="22000">
              <a:solidFill>
                <a:srgbClr val="3E8E7E"/>
              </a:solidFill>
              <a:prstDash val="solid"/>
            </a:ln>
          </spPr>
          <marker>
            <symbol val="circle"/>
            <size val="6"/>
            <spPr>
              <a:solidFill>
                <a:srgbClr val="3E8E7E"/>
              </a:solidFill>
              <a:ln>
                <a:solidFill>
                  <a:srgbClr val="3E8E7E"/>
                </a:solidFill>
                <a:prstDash val="solid"/>
              </a:ln>
            </spPr>
          </marker>
          <cat>
            <numRef>
              <f>'인바디기록'!$A$4:$A$103</f>
            </numRef>
          </cat>
          <val>
            <numRef>
              <f>'인바디기록'!$D$4:$D$103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측정일</a:t>
                </a:r>
              </a:p>
            </rich>
          </tx>
        </title>
        <numFmt formatCode="yyyy-mm-dd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kg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5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558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558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21</row>
      <rowOff>0</rowOff>
    </from>
    <ext cx="558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58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39</row>
      <rowOff>0</rowOff>
    </from>
    <ext cx="5580000" cy="30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57</row>
      <rowOff>0</rowOff>
    </from>
    <ext cx="5580000" cy="30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11</col>
      <colOff>0</colOff>
      <row>57</row>
      <rowOff>0</rowOff>
    </from>
    <ext cx="5580000" cy="30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75</row>
      <rowOff>0</rowOff>
    </from>
    <ext cx="5580000" cy="30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11</col>
      <colOff>0</colOff>
      <row>75</row>
      <rowOff>0</rowOff>
    </from>
    <ext cx="5580000" cy="30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93</row>
      <rowOff>0</rowOff>
    </from>
    <ext cx="5580000" cy="30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11</col>
      <colOff>0</colOff>
      <row>93</row>
      <rowOff>0</rowOff>
    </from>
    <ext cx="5580000" cy="30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111</row>
      <rowOff>0</rowOff>
    </from>
    <ext cx="5580000" cy="30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11</col>
      <colOff>0</colOff>
      <row>111</row>
      <rowOff>0</rowOff>
    </from>
    <ext cx="5580000" cy="306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0</col>
      <colOff>0</colOff>
      <row>129</row>
      <rowOff>0</rowOff>
    </from>
    <ext cx="5580000" cy="306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11</col>
      <colOff>0</colOff>
      <row>129</row>
      <rowOff>0</rowOff>
    </from>
    <ext cx="5580000" cy="306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0</col>
      <colOff>0</colOff>
      <row>147</row>
      <rowOff>0</rowOff>
    </from>
    <ext cx="5580000" cy="306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11</col>
      <colOff>0</colOff>
      <row>147</row>
      <rowOff>0</rowOff>
    </from>
    <ext cx="5580000" cy="306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72" customWidth="1" min="4" max="4"/>
  </cols>
  <sheetData>
    <row r="2">
      <c r="B2" s="1" t="inlineStr">
        <is>
          <t>인바디 기록 관리표 - 사용 안내</t>
        </is>
      </c>
    </row>
    <row r="4" ht="20" customHeight="1">
      <c r="B4" s="2" t="inlineStr">
        <is>
          <t>1. '인바디기록' 시트의 노란색 칸에만 값을 입력하세요. (4행은 입력 예시입니다 - 지우고 사용)</t>
        </is>
      </c>
    </row>
    <row r="5" ht="20" customHeight="1">
      <c r="B5" s="2" t="inlineStr">
        <is>
          <t>2. 측정일은 위에서부터 순서대로 채우면 되고, 순서가 뒤바뀌어도 요약/그래프는 정상 동작합니다.</t>
        </is>
      </c>
    </row>
    <row r="6" ht="20" customHeight="1">
      <c r="B6" s="2" t="inlineStr">
        <is>
          <t>3. '요약' 시트와 '그래프' 시트는 수식/자동 연결이라 따로 손댈 필요가 없습니다.</t>
        </is>
      </c>
    </row>
    <row r="7" ht="20" customHeight="1">
      <c r="B7" s="2" t="inlineStr">
        <is>
          <t>4. 기본 100회분(4~103행)까지 준비되어 있습니다.</t>
        </is>
      </c>
    </row>
    <row r="8" ht="20" customHeight="1">
      <c r="B8" s="2" t="inlineStr">
        <is>
          <t>5. 값이 비어 있는 항목은 그래프에서 그냥 건너뜁니다. 측정 안 한 항목은 비워두세요.</t>
        </is>
      </c>
    </row>
    <row r="10">
      <c r="B10" s="3" t="inlineStr">
        <is>
          <t>항목 설명</t>
        </is>
      </c>
    </row>
    <row r="11" ht="22" customHeight="1">
      <c r="B11" s="4" t="inlineStr">
        <is>
          <t>항목</t>
        </is>
      </c>
      <c r="C11" s="4" t="inlineStr">
        <is>
          <t>단위</t>
        </is>
      </c>
      <c r="D11" s="4" t="inlineStr">
        <is>
          <t>설명</t>
        </is>
      </c>
    </row>
    <row r="12">
      <c r="B12" s="5" t="inlineStr">
        <is>
          <t>측정일</t>
        </is>
      </c>
      <c r="C12" s="6" t="inlineStr">
        <is>
          <t>-</t>
        </is>
      </c>
      <c r="D12" s="7" t="inlineStr">
        <is>
          <t>인바디를 측정한 날짜</t>
        </is>
      </c>
    </row>
    <row r="13">
      <c r="B13" s="5" t="inlineStr">
        <is>
          <t>체중</t>
        </is>
      </c>
      <c r="C13" s="6" t="inlineStr">
        <is>
          <t>kg</t>
        </is>
      </c>
      <c r="D13" s="7" t="inlineStr">
        <is>
          <t>인바디 결과지의 체중</t>
        </is>
      </c>
    </row>
    <row r="14">
      <c r="B14" s="5" t="inlineStr">
        <is>
          <t>골격근량</t>
        </is>
      </c>
      <c r="C14" s="6" t="inlineStr">
        <is>
          <t>kg</t>
        </is>
      </c>
      <c r="D14" s="7" t="inlineStr">
        <is>
          <t>SMM(골격근량). 근육량과 다른 항목이므로 주의</t>
        </is>
      </c>
    </row>
    <row r="15">
      <c r="B15" s="5" t="inlineStr">
        <is>
          <t>체지방량</t>
        </is>
      </c>
      <c r="C15" s="6" t="inlineStr">
        <is>
          <t>kg</t>
        </is>
      </c>
      <c r="D15" s="7" t="inlineStr">
        <is>
          <t>체지방의 무게</t>
        </is>
      </c>
    </row>
    <row r="16">
      <c r="B16" s="5" t="inlineStr">
        <is>
          <t>체지방률</t>
        </is>
      </c>
      <c r="C16" s="6" t="inlineStr">
        <is>
          <t>%</t>
        </is>
      </c>
      <c r="D16" s="7" t="inlineStr">
        <is>
          <t>퍼센트 숫자만 입력 (예: 21.6)</t>
        </is>
      </c>
    </row>
    <row r="17">
      <c r="B17" s="5" t="inlineStr">
        <is>
          <t>내장지방</t>
        </is>
      </c>
      <c r="C17" s="6" t="inlineStr">
        <is>
          <t>레벨</t>
        </is>
      </c>
      <c r="D17" s="7" t="inlineStr">
        <is>
          <t>내장지방 레벨 (보통 1~20). 장비에 따라 면적(cm2)이면 그대로 입력</t>
        </is>
      </c>
    </row>
    <row r="18">
      <c r="B18" s="5" t="inlineStr">
        <is>
          <t>복부지방률</t>
        </is>
      </c>
      <c r="C18" s="6" t="inlineStr">
        <is>
          <t>WHR</t>
        </is>
      </c>
      <c r="D18" s="7" t="inlineStr">
        <is>
          <t>허리-엉덩이 둘레 비율(WHR). 예: 0.86</t>
        </is>
      </c>
    </row>
    <row r="19">
      <c r="B19" s="5" t="inlineStr">
        <is>
          <t>신체발달점수</t>
        </is>
      </c>
      <c r="C19" s="6" t="inlineStr">
        <is>
          <t>점</t>
        </is>
      </c>
      <c r="D19" s="7" t="inlineStr">
        <is>
          <t>인바디 점수 (보통 100점 만점)</t>
        </is>
      </c>
    </row>
    <row r="20">
      <c r="B20" s="5" t="inlineStr">
        <is>
          <t>기초대사량</t>
        </is>
      </c>
      <c r="C20" s="6" t="inlineStr">
        <is>
          <t>kcal</t>
        </is>
      </c>
      <c r="D20" s="7" t="inlineStr">
        <is>
          <t>BMR</t>
        </is>
      </c>
    </row>
    <row r="21">
      <c r="B21" s="5" t="inlineStr">
        <is>
          <t>가슴</t>
        </is>
      </c>
      <c r="C21" s="6" t="inlineStr">
        <is>
          <t>cm</t>
        </is>
      </c>
      <c r="D21" s="7" t="inlineStr">
        <is>
          <t>겉둘레 - 가슴</t>
        </is>
      </c>
    </row>
    <row r="22">
      <c r="B22" s="5" t="inlineStr">
        <is>
          <t>복부</t>
        </is>
      </c>
      <c r="C22" s="6" t="inlineStr">
        <is>
          <t>cm</t>
        </is>
      </c>
      <c r="D22" s="7" t="inlineStr">
        <is>
          <t>겉둘레 - 복부(배꼽 기준)</t>
        </is>
      </c>
    </row>
    <row r="23">
      <c r="B23" s="5" t="inlineStr">
        <is>
          <t>오른팔</t>
        </is>
      </c>
      <c r="C23" s="6" t="inlineStr">
        <is>
          <t>cm</t>
        </is>
      </c>
      <c r="D23" s="7" t="inlineStr">
        <is>
          <t>겉둘레 - 오른팔</t>
        </is>
      </c>
    </row>
    <row r="24">
      <c r="B24" s="5" t="inlineStr">
        <is>
          <t>왼팔</t>
        </is>
      </c>
      <c r="C24" s="6" t="inlineStr">
        <is>
          <t>cm</t>
        </is>
      </c>
      <c r="D24" s="7" t="inlineStr">
        <is>
          <t>겉둘레 - 왼팔</t>
        </is>
      </c>
    </row>
    <row r="25">
      <c r="B25" s="5" t="inlineStr">
        <is>
          <t>오른허벅지</t>
        </is>
      </c>
      <c r="C25" s="6" t="inlineStr">
        <is>
          <t>cm</t>
        </is>
      </c>
      <c r="D25" s="7" t="inlineStr">
        <is>
          <t>겉둘레 - 오른쪽 허벅지</t>
        </is>
      </c>
    </row>
    <row r="26">
      <c r="B26" s="5" t="inlineStr">
        <is>
          <t>왼허벅지</t>
        </is>
      </c>
      <c r="C26" s="6" t="inlineStr">
        <is>
          <t>cm</t>
        </is>
      </c>
      <c r="D26" s="7" t="inlineStr">
        <is>
          <t>겉둘레 - 왼쪽 허벅지</t>
        </is>
      </c>
    </row>
    <row r="27">
      <c r="B27" s="5" t="inlineStr">
        <is>
          <t>목</t>
        </is>
      </c>
      <c r="C27" s="6" t="inlineStr">
        <is>
          <t>cm</t>
        </is>
      </c>
      <c r="D27" s="7" t="inlineStr">
        <is>
          <t>겉둘레 - 목</t>
        </is>
      </c>
    </row>
    <row r="28">
      <c r="B28" s="5" t="inlineStr">
        <is>
          <t>엉덩이</t>
        </is>
      </c>
      <c r="C28" s="6" t="inlineStr">
        <is>
          <t>cm</t>
        </is>
      </c>
      <c r="D28" s="7" t="inlineStr">
        <is>
          <t>겉둘레 - 엉덩이</t>
        </is>
      </c>
    </row>
    <row r="30">
      <c r="B30" s="8" t="inlineStr">
        <is>
          <t>※ 체지방률은 % 기호 없이 숫자만(21.6), 복부지방률은 WHR 값(0.86)으로 입력합니다.</t>
        </is>
      </c>
    </row>
    <row r="31">
      <c r="B31" s="8" t="inlineStr">
        <is>
          <t>※ 예시 행의 값은 형식을 보여주기 위한 임의의 값이며 실제 측정치가 아닙니다.</t>
        </is>
      </c>
    </row>
  </sheetData>
  <mergeCells count="5">
    <mergeCell ref="B5:D5"/>
    <mergeCell ref="B8:D8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3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1" customWidth="1" min="15" max="15"/>
    <col width="10" customWidth="1" min="16" max="16"/>
    <col width="10" customWidth="1" min="17" max="17"/>
  </cols>
  <sheetData>
    <row r="1">
      <c r="A1" s="9" t="inlineStr">
        <is>
          <t>인바디 측정 기록</t>
        </is>
      </c>
    </row>
    <row r="2">
      <c r="A2" s="8" t="inlineStr">
        <is>
          <t>노란색 칸에 측정값을 입력하세요. (4행은 예시 - 삭제 후 사용)</t>
        </is>
      </c>
      <c r="J2" s="10" t="inlineStr">
        <is>
          <t>부위별 근육발달 (겉둘레, cm)</t>
        </is>
      </c>
    </row>
    <row r="3" ht="34" customHeight="1">
      <c r="A3" s="11" t="inlineStr">
        <is>
          <t>측정일</t>
        </is>
      </c>
      <c r="B3" s="11" t="inlineStr">
        <is>
          <t>체중(kg)</t>
        </is>
      </c>
      <c r="C3" s="11" t="inlineStr">
        <is>
          <t>골격근량(kg)</t>
        </is>
      </c>
      <c r="D3" s="11" t="inlineStr">
        <is>
          <t>체지방량(kg)</t>
        </is>
      </c>
      <c r="E3" s="11" t="inlineStr">
        <is>
          <t>체지방률(%)</t>
        </is>
      </c>
      <c r="F3" s="11" t="inlineStr">
        <is>
          <t>내장지방(레벨)</t>
        </is>
      </c>
      <c r="G3" s="11" t="inlineStr">
        <is>
          <t>복부지방률(WHR)</t>
        </is>
      </c>
      <c r="H3" s="11" t="inlineStr">
        <is>
          <t>신체발달점수(점)</t>
        </is>
      </c>
      <c r="I3" s="11" t="inlineStr">
        <is>
          <t>기초대사량(kcal)</t>
        </is>
      </c>
      <c r="J3" s="11" t="inlineStr">
        <is>
          <t>가슴(cm)</t>
        </is>
      </c>
      <c r="K3" s="11" t="inlineStr">
        <is>
          <t>복부(cm)</t>
        </is>
      </c>
      <c r="L3" s="11" t="inlineStr">
        <is>
          <t>오른팔(cm)</t>
        </is>
      </c>
      <c r="M3" s="11" t="inlineStr">
        <is>
          <t>왼팔(cm)</t>
        </is>
      </c>
      <c r="N3" s="11" t="inlineStr">
        <is>
          <t>오른허벅지(cm)</t>
        </is>
      </c>
      <c r="O3" s="11" t="inlineStr">
        <is>
          <t>왼허벅지(cm)</t>
        </is>
      </c>
      <c r="P3" s="11" t="inlineStr">
        <is>
          <t>목(cm)</t>
        </is>
      </c>
      <c r="Q3" s="11" t="inlineStr">
        <is>
          <t>엉덩이(cm)</t>
        </is>
      </c>
    </row>
    <row r="4">
      <c r="A4" s="12" t="n">
        <v>46027</v>
      </c>
      <c r="B4" s="13" t="n">
        <v>68.40000000000001</v>
      </c>
      <c r="C4" s="13" t="n">
        <v>31.2</v>
      </c>
      <c r="D4" s="13" t="n">
        <v>14.8</v>
      </c>
      <c r="E4" s="13" t="n">
        <v>21.6</v>
      </c>
      <c r="F4" s="13" t="n">
        <v>7</v>
      </c>
      <c r="G4" s="14" t="n">
        <v>0.86</v>
      </c>
      <c r="H4" s="15" t="n">
        <v>78</v>
      </c>
      <c r="I4" s="16" t="n">
        <v>1580</v>
      </c>
      <c r="J4" s="13" t="n">
        <v>98.5</v>
      </c>
      <c r="K4" s="13" t="n">
        <v>84</v>
      </c>
      <c r="L4" s="13" t="n">
        <v>32.5</v>
      </c>
      <c r="M4" s="13" t="n">
        <v>32.1</v>
      </c>
      <c r="N4" s="13" t="n">
        <v>54.2</v>
      </c>
      <c r="O4" s="13" t="n">
        <v>53.8</v>
      </c>
      <c r="P4" s="13" t="n">
        <v>37.4</v>
      </c>
      <c r="Q4" s="13" t="n">
        <v>97.59999999999999</v>
      </c>
    </row>
    <row r="5">
      <c r="A5" s="17" t="n"/>
      <c r="B5" s="18" t="n"/>
      <c r="C5" s="18" t="n"/>
      <c r="D5" s="18" t="n"/>
      <c r="E5" s="18" t="n"/>
      <c r="F5" s="18" t="n"/>
      <c r="G5" s="19" t="n"/>
      <c r="H5" s="20" t="n"/>
      <c r="I5" s="21" t="n"/>
      <c r="J5" s="18" t="n"/>
      <c r="K5" s="18" t="n"/>
      <c r="L5" s="18" t="n"/>
      <c r="M5" s="18" t="n"/>
      <c r="N5" s="18" t="n"/>
      <c r="O5" s="18" t="n"/>
      <c r="P5" s="18" t="n"/>
      <c r="Q5" s="18" t="n"/>
    </row>
    <row r="6">
      <c r="A6" s="17" t="n"/>
      <c r="B6" s="18" t="n"/>
      <c r="C6" s="18" t="n"/>
      <c r="D6" s="18" t="n"/>
      <c r="E6" s="18" t="n"/>
      <c r="F6" s="18" t="n"/>
      <c r="G6" s="19" t="n"/>
      <c r="H6" s="20" t="n"/>
      <c r="I6" s="21" t="n"/>
      <c r="J6" s="18" t="n"/>
      <c r="K6" s="18" t="n"/>
      <c r="L6" s="18" t="n"/>
      <c r="M6" s="18" t="n"/>
      <c r="N6" s="18" t="n"/>
      <c r="O6" s="18" t="n"/>
      <c r="P6" s="18" t="n"/>
      <c r="Q6" s="18" t="n"/>
    </row>
    <row r="7">
      <c r="A7" s="17" t="n"/>
      <c r="B7" s="18" t="n"/>
      <c r="C7" s="18" t="n"/>
      <c r="D7" s="18" t="n"/>
      <c r="E7" s="18" t="n"/>
      <c r="F7" s="18" t="n"/>
      <c r="G7" s="19" t="n"/>
      <c r="H7" s="20" t="n"/>
      <c r="I7" s="21" t="n"/>
      <c r="J7" s="18" t="n"/>
      <c r="K7" s="18" t="n"/>
      <c r="L7" s="18" t="n"/>
      <c r="M7" s="18" t="n"/>
      <c r="N7" s="18" t="n"/>
      <c r="O7" s="18" t="n"/>
      <c r="P7" s="18" t="n"/>
      <c r="Q7" s="18" t="n"/>
    </row>
    <row r="8">
      <c r="A8" s="17" t="n"/>
      <c r="B8" s="18" t="n"/>
      <c r="C8" s="18" t="n"/>
      <c r="D8" s="18" t="n"/>
      <c r="E8" s="18" t="n"/>
      <c r="F8" s="18" t="n"/>
      <c r="G8" s="19" t="n"/>
      <c r="H8" s="20" t="n"/>
      <c r="I8" s="21" t="n"/>
      <c r="J8" s="18" t="n"/>
      <c r="K8" s="18" t="n"/>
      <c r="L8" s="18" t="n"/>
      <c r="M8" s="18" t="n"/>
      <c r="N8" s="18" t="n"/>
      <c r="O8" s="18" t="n"/>
      <c r="P8" s="18" t="n"/>
      <c r="Q8" s="18" t="n"/>
    </row>
    <row r="9">
      <c r="A9" s="17" t="n"/>
      <c r="B9" s="18" t="n"/>
      <c r="C9" s="18" t="n"/>
      <c r="D9" s="18" t="n"/>
      <c r="E9" s="18" t="n"/>
      <c r="F9" s="18" t="n"/>
      <c r="G9" s="19" t="n"/>
      <c r="H9" s="20" t="n"/>
      <c r="I9" s="21" t="n"/>
      <c r="J9" s="18" t="n"/>
      <c r="K9" s="18" t="n"/>
      <c r="L9" s="18" t="n"/>
      <c r="M9" s="18" t="n"/>
      <c r="N9" s="18" t="n"/>
      <c r="O9" s="18" t="n"/>
      <c r="P9" s="18" t="n"/>
      <c r="Q9" s="18" t="n"/>
    </row>
    <row r="10">
      <c r="A10" s="17" t="n"/>
      <c r="B10" s="18" t="n"/>
      <c r="C10" s="18" t="n"/>
      <c r="D10" s="18" t="n"/>
      <c r="E10" s="18" t="n"/>
      <c r="F10" s="18" t="n"/>
      <c r="G10" s="19" t="n"/>
      <c r="H10" s="20" t="n"/>
      <c r="I10" s="21" t="n"/>
      <c r="J10" s="18" t="n"/>
      <c r="K10" s="18" t="n"/>
      <c r="L10" s="18" t="n"/>
      <c r="M10" s="18" t="n"/>
      <c r="N10" s="18" t="n"/>
      <c r="O10" s="18" t="n"/>
      <c r="P10" s="18" t="n"/>
      <c r="Q10" s="18" t="n"/>
    </row>
    <row r="11">
      <c r="A11" s="17" t="n"/>
      <c r="B11" s="18" t="n"/>
      <c r="C11" s="18" t="n"/>
      <c r="D11" s="18" t="n"/>
      <c r="E11" s="18" t="n"/>
      <c r="F11" s="18" t="n"/>
      <c r="G11" s="19" t="n"/>
      <c r="H11" s="20" t="n"/>
      <c r="I11" s="21" t="n"/>
      <c r="J11" s="18" t="n"/>
      <c r="K11" s="18" t="n"/>
      <c r="L11" s="18" t="n"/>
      <c r="M11" s="18" t="n"/>
      <c r="N11" s="18" t="n"/>
      <c r="O11" s="18" t="n"/>
      <c r="P11" s="18" t="n"/>
      <c r="Q11" s="18" t="n"/>
    </row>
    <row r="12">
      <c r="A12" s="17" t="n"/>
      <c r="B12" s="18" t="n"/>
      <c r="C12" s="18" t="n"/>
      <c r="D12" s="18" t="n"/>
      <c r="E12" s="18" t="n"/>
      <c r="F12" s="18" t="n"/>
      <c r="G12" s="19" t="n"/>
      <c r="H12" s="20" t="n"/>
      <c r="I12" s="21" t="n"/>
      <c r="J12" s="18" t="n"/>
      <c r="K12" s="18" t="n"/>
      <c r="L12" s="18" t="n"/>
      <c r="M12" s="18" t="n"/>
      <c r="N12" s="18" t="n"/>
      <c r="O12" s="18" t="n"/>
      <c r="P12" s="18" t="n"/>
      <c r="Q12" s="18" t="n"/>
    </row>
    <row r="13">
      <c r="A13" s="17" t="n"/>
      <c r="B13" s="18" t="n"/>
      <c r="C13" s="18" t="n"/>
      <c r="D13" s="18" t="n"/>
      <c r="E13" s="18" t="n"/>
      <c r="F13" s="18" t="n"/>
      <c r="G13" s="19" t="n"/>
      <c r="H13" s="20" t="n"/>
      <c r="I13" s="21" t="n"/>
      <c r="J13" s="18" t="n"/>
      <c r="K13" s="18" t="n"/>
      <c r="L13" s="18" t="n"/>
      <c r="M13" s="18" t="n"/>
      <c r="N13" s="18" t="n"/>
      <c r="O13" s="18" t="n"/>
      <c r="P13" s="18" t="n"/>
      <c r="Q13" s="18" t="n"/>
    </row>
    <row r="14">
      <c r="A14" s="17" t="n"/>
      <c r="B14" s="18" t="n"/>
      <c r="C14" s="18" t="n"/>
      <c r="D14" s="18" t="n"/>
      <c r="E14" s="18" t="n"/>
      <c r="F14" s="18" t="n"/>
      <c r="G14" s="19" t="n"/>
      <c r="H14" s="20" t="n"/>
      <c r="I14" s="21" t="n"/>
      <c r="J14" s="18" t="n"/>
      <c r="K14" s="18" t="n"/>
      <c r="L14" s="18" t="n"/>
      <c r="M14" s="18" t="n"/>
      <c r="N14" s="18" t="n"/>
      <c r="O14" s="18" t="n"/>
      <c r="P14" s="18" t="n"/>
      <c r="Q14" s="18" t="n"/>
    </row>
    <row r="15">
      <c r="A15" s="17" t="n"/>
      <c r="B15" s="18" t="n"/>
      <c r="C15" s="18" t="n"/>
      <c r="D15" s="18" t="n"/>
      <c r="E15" s="18" t="n"/>
      <c r="F15" s="18" t="n"/>
      <c r="G15" s="19" t="n"/>
      <c r="H15" s="20" t="n"/>
      <c r="I15" s="21" t="n"/>
      <c r="J15" s="18" t="n"/>
      <c r="K15" s="18" t="n"/>
      <c r="L15" s="18" t="n"/>
      <c r="M15" s="18" t="n"/>
      <c r="N15" s="18" t="n"/>
      <c r="O15" s="18" t="n"/>
      <c r="P15" s="18" t="n"/>
      <c r="Q15" s="18" t="n"/>
    </row>
    <row r="16">
      <c r="A16" s="17" t="n"/>
      <c r="B16" s="18" t="n"/>
      <c r="C16" s="18" t="n"/>
      <c r="D16" s="18" t="n"/>
      <c r="E16" s="18" t="n"/>
      <c r="F16" s="18" t="n"/>
      <c r="G16" s="19" t="n"/>
      <c r="H16" s="20" t="n"/>
      <c r="I16" s="21" t="n"/>
      <c r="J16" s="18" t="n"/>
      <c r="K16" s="18" t="n"/>
      <c r="L16" s="18" t="n"/>
      <c r="M16" s="18" t="n"/>
      <c r="N16" s="18" t="n"/>
      <c r="O16" s="18" t="n"/>
      <c r="P16" s="18" t="n"/>
      <c r="Q16" s="18" t="n"/>
    </row>
    <row r="17">
      <c r="A17" s="17" t="n"/>
      <c r="B17" s="18" t="n"/>
      <c r="C17" s="18" t="n"/>
      <c r="D17" s="18" t="n"/>
      <c r="E17" s="18" t="n"/>
      <c r="F17" s="18" t="n"/>
      <c r="G17" s="19" t="n"/>
      <c r="H17" s="20" t="n"/>
      <c r="I17" s="21" t="n"/>
      <c r="J17" s="18" t="n"/>
      <c r="K17" s="18" t="n"/>
      <c r="L17" s="18" t="n"/>
      <c r="M17" s="18" t="n"/>
      <c r="N17" s="18" t="n"/>
      <c r="O17" s="18" t="n"/>
      <c r="P17" s="18" t="n"/>
      <c r="Q17" s="18" t="n"/>
    </row>
    <row r="18">
      <c r="A18" s="17" t="n"/>
      <c r="B18" s="18" t="n"/>
      <c r="C18" s="18" t="n"/>
      <c r="D18" s="18" t="n"/>
      <c r="E18" s="18" t="n"/>
      <c r="F18" s="18" t="n"/>
      <c r="G18" s="19" t="n"/>
      <c r="H18" s="20" t="n"/>
      <c r="I18" s="21" t="n"/>
      <c r="J18" s="18" t="n"/>
      <c r="K18" s="18" t="n"/>
      <c r="L18" s="18" t="n"/>
      <c r="M18" s="18" t="n"/>
      <c r="N18" s="18" t="n"/>
      <c r="O18" s="18" t="n"/>
      <c r="P18" s="18" t="n"/>
      <c r="Q18" s="18" t="n"/>
    </row>
    <row r="19">
      <c r="A19" s="17" t="n"/>
      <c r="B19" s="18" t="n"/>
      <c r="C19" s="18" t="n"/>
      <c r="D19" s="18" t="n"/>
      <c r="E19" s="18" t="n"/>
      <c r="F19" s="18" t="n"/>
      <c r="G19" s="19" t="n"/>
      <c r="H19" s="20" t="n"/>
      <c r="I19" s="21" t="n"/>
      <c r="J19" s="18" t="n"/>
      <c r="K19" s="18" t="n"/>
      <c r="L19" s="18" t="n"/>
      <c r="M19" s="18" t="n"/>
      <c r="N19" s="18" t="n"/>
      <c r="O19" s="18" t="n"/>
      <c r="P19" s="18" t="n"/>
      <c r="Q19" s="18" t="n"/>
    </row>
    <row r="20">
      <c r="A20" s="17" t="n"/>
      <c r="B20" s="18" t="n"/>
      <c r="C20" s="18" t="n"/>
      <c r="D20" s="18" t="n"/>
      <c r="E20" s="18" t="n"/>
      <c r="F20" s="18" t="n"/>
      <c r="G20" s="19" t="n"/>
      <c r="H20" s="20" t="n"/>
      <c r="I20" s="21" t="n"/>
      <c r="J20" s="18" t="n"/>
      <c r="K20" s="18" t="n"/>
      <c r="L20" s="18" t="n"/>
      <c r="M20" s="18" t="n"/>
      <c r="N20" s="18" t="n"/>
      <c r="O20" s="18" t="n"/>
      <c r="P20" s="18" t="n"/>
      <c r="Q20" s="18" t="n"/>
    </row>
    <row r="21">
      <c r="A21" s="17" t="n"/>
      <c r="B21" s="18" t="n"/>
      <c r="C21" s="18" t="n"/>
      <c r="D21" s="18" t="n"/>
      <c r="E21" s="18" t="n"/>
      <c r="F21" s="18" t="n"/>
      <c r="G21" s="19" t="n"/>
      <c r="H21" s="20" t="n"/>
      <c r="I21" s="21" t="n"/>
      <c r="J21" s="18" t="n"/>
      <c r="K21" s="18" t="n"/>
      <c r="L21" s="18" t="n"/>
      <c r="M21" s="18" t="n"/>
      <c r="N21" s="18" t="n"/>
      <c r="O21" s="18" t="n"/>
      <c r="P21" s="18" t="n"/>
      <c r="Q21" s="18" t="n"/>
    </row>
    <row r="22">
      <c r="A22" s="17" t="n"/>
      <c r="B22" s="18" t="n"/>
      <c r="C22" s="18" t="n"/>
      <c r="D22" s="18" t="n"/>
      <c r="E22" s="18" t="n"/>
      <c r="F22" s="18" t="n"/>
      <c r="G22" s="19" t="n"/>
      <c r="H22" s="20" t="n"/>
      <c r="I22" s="21" t="n"/>
      <c r="J22" s="18" t="n"/>
      <c r="K22" s="18" t="n"/>
      <c r="L22" s="18" t="n"/>
      <c r="M22" s="18" t="n"/>
      <c r="N22" s="18" t="n"/>
      <c r="O22" s="18" t="n"/>
      <c r="P22" s="18" t="n"/>
      <c r="Q22" s="18" t="n"/>
    </row>
    <row r="23">
      <c r="A23" s="17" t="n"/>
      <c r="B23" s="18" t="n"/>
      <c r="C23" s="18" t="n"/>
      <c r="D23" s="18" t="n"/>
      <c r="E23" s="18" t="n"/>
      <c r="F23" s="18" t="n"/>
      <c r="G23" s="19" t="n"/>
      <c r="H23" s="20" t="n"/>
      <c r="I23" s="21" t="n"/>
      <c r="J23" s="18" t="n"/>
      <c r="K23" s="18" t="n"/>
      <c r="L23" s="18" t="n"/>
      <c r="M23" s="18" t="n"/>
      <c r="N23" s="18" t="n"/>
      <c r="O23" s="18" t="n"/>
      <c r="P23" s="18" t="n"/>
      <c r="Q23" s="18" t="n"/>
    </row>
    <row r="24">
      <c r="A24" s="17" t="n"/>
      <c r="B24" s="18" t="n"/>
      <c r="C24" s="18" t="n"/>
      <c r="D24" s="18" t="n"/>
      <c r="E24" s="18" t="n"/>
      <c r="F24" s="18" t="n"/>
      <c r="G24" s="19" t="n"/>
      <c r="H24" s="20" t="n"/>
      <c r="I24" s="21" t="n"/>
      <c r="J24" s="18" t="n"/>
      <c r="K24" s="18" t="n"/>
      <c r="L24" s="18" t="n"/>
      <c r="M24" s="18" t="n"/>
      <c r="N24" s="18" t="n"/>
      <c r="O24" s="18" t="n"/>
      <c r="P24" s="18" t="n"/>
      <c r="Q24" s="18" t="n"/>
    </row>
    <row r="25">
      <c r="A25" s="17" t="n"/>
      <c r="B25" s="18" t="n"/>
      <c r="C25" s="18" t="n"/>
      <c r="D25" s="18" t="n"/>
      <c r="E25" s="18" t="n"/>
      <c r="F25" s="18" t="n"/>
      <c r="G25" s="19" t="n"/>
      <c r="H25" s="20" t="n"/>
      <c r="I25" s="21" t="n"/>
      <c r="J25" s="18" t="n"/>
      <c r="K25" s="18" t="n"/>
      <c r="L25" s="18" t="n"/>
      <c r="M25" s="18" t="n"/>
      <c r="N25" s="18" t="n"/>
      <c r="O25" s="18" t="n"/>
      <c r="P25" s="18" t="n"/>
      <c r="Q25" s="18" t="n"/>
    </row>
    <row r="26">
      <c r="A26" s="17" t="n"/>
      <c r="B26" s="18" t="n"/>
      <c r="C26" s="18" t="n"/>
      <c r="D26" s="18" t="n"/>
      <c r="E26" s="18" t="n"/>
      <c r="F26" s="18" t="n"/>
      <c r="G26" s="19" t="n"/>
      <c r="H26" s="20" t="n"/>
      <c r="I26" s="21" t="n"/>
      <c r="J26" s="18" t="n"/>
      <c r="K26" s="18" t="n"/>
      <c r="L26" s="18" t="n"/>
      <c r="M26" s="18" t="n"/>
      <c r="N26" s="18" t="n"/>
      <c r="O26" s="18" t="n"/>
      <c r="P26" s="18" t="n"/>
      <c r="Q26" s="18" t="n"/>
    </row>
    <row r="27">
      <c r="A27" s="17" t="n"/>
      <c r="B27" s="18" t="n"/>
      <c r="C27" s="18" t="n"/>
      <c r="D27" s="18" t="n"/>
      <c r="E27" s="18" t="n"/>
      <c r="F27" s="18" t="n"/>
      <c r="G27" s="19" t="n"/>
      <c r="H27" s="20" t="n"/>
      <c r="I27" s="21" t="n"/>
      <c r="J27" s="18" t="n"/>
      <c r="K27" s="18" t="n"/>
      <c r="L27" s="18" t="n"/>
      <c r="M27" s="18" t="n"/>
      <c r="N27" s="18" t="n"/>
      <c r="O27" s="18" t="n"/>
      <c r="P27" s="18" t="n"/>
      <c r="Q27" s="18" t="n"/>
    </row>
    <row r="28">
      <c r="A28" s="17" t="n"/>
      <c r="B28" s="18" t="n"/>
      <c r="C28" s="18" t="n"/>
      <c r="D28" s="18" t="n"/>
      <c r="E28" s="18" t="n"/>
      <c r="F28" s="18" t="n"/>
      <c r="G28" s="19" t="n"/>
      <c r="H28" s="20" t="n"/>
      <c r="I28" s="21" t="n"/>
      <c r="J28" s="18" t="n"/>
      <c r="K28" s="18" t="n"/>
      <c r="L28" s="18" t="n"/>
      <c r="M28" s="18" t="n"/>
      <c r="N28" s="18" t="n"/>
      <c r="O28" s="18" t="n"/>
      <c r="P28" s="18" t="n"/>
      <c r="Q28" s="18" t="n"/>
    </row>
    <row r="29">
      <c r="A29" s="17" t="n"/>
      <c r="B29" s="18" t="n"/>
      <c r="C29" s="18" t="n"/>
      <c r="D29" s="18" t="n"/>
      <c r="E29" s="18" t="n"/>
      <c r="F29" s="18" t="n"/>
      <c r="G29" s="19" t="n"/>
      <c r="H29" s="20" t="n"/>
      <c r="I29" s="21" t="n"/>
      <c r="J29" s="18" t="n"/>
      <c r="K29" s="18" t="n"/>
      <c r="L29" s="18" t="n"/>
      <c r="M29" s="18" t="n"/>
      <c r="N29" s="18" t="n"/>
      <c r="O29" s="18" t="n"/>
      <c r="P29" s="18" t="n"/>
      <c r="Q29" s="18" t="n"/>
    </row>
    <row r="30">
      <c r="A30" s="17" t="n"/>
      <c r="B30" s="18" t="n"/>
      <c r="C30" s="18" t="n"/>
      <c r="D30" s="18" t="n"/>
      <c r="E30" s="18" t="n"/>
      <c r="F30" s="18" t="n"/>
      <c r="G30" s="19" t="n"/>
      <c r="H30" s="20" t="n"/>
      <c r="I30" s="21" t="n"/>
      <c r="J30" s="18" t="n"/>
      <c r="K30" s="18" t="n"/>
      <c r="L30" s="18" t="n"/>
      <c r="M30" s="18" t="n"/>
      <c r="N30" s="18" t="n"/>
      <c r="O30" s="18" t="n"/>
      <c r="P30" s="18" t="n"/>
      <c r="Q30" s="18" t="n"/>
    </row>
    <row r="31">
      <c r="A31" s="17" t="n"/>
      <c r="B31" s="18" t="n"/>
      <c r="C31" s="18" t="n"/>
      <c r="D31" s="18" t="n"/>
      <c r="E31" s="18" t="n"/>
      <c r="F31" s="18" t="n"/>
      <c r="G31" s="19" t="n"/>
      <c r="H31" s="20" t="n"/>
      <c r="I31" s="21" t="n"/>
      <c r="J31" s="18" t="n"/>
      <c r="K31" s="18" t="n"/>
      <c r="L31" s="18" t="n"/>
      <c r="M31" s="18" t="n"/>
      <c r="N31" s="18" t="n"/>
      <c r="O31" s="18" t="n"/>
      <c r="P31" s="18" t="n"/>
      <c r="Q31" s="18" t="n"/>
    </row>
    <row r="32">
      <c r="A32" s="17" t="n"/>
      <c r="B32" s="18" t="n"/>
      <c r="C32" s="18" t="n"/>
      <c r="D32" s="18" t="n"/>
      <c r="E32" s="18" t="n"/>
      <c r="F32" s="18" t="n"/>
      <c r="G32" s="19" t="n"/>
      <c r="H32" s="20" t="n"/>
      <c r="I32" s="21" t="n"/>
      <c r="J32" s="18" t="n"/>
      <c r="K32" s="18" t="n"/>
      <c r="L32" s="18" t="n"/>
      <c r="M32" s="18" t="n"/>
      <c r="N32" s="18" t="n"/>
      <c r="O32" s="18" t="n"/>
      <c r="P32" s="18" t="n"/>
      <c r="Q32" s="18" t="n"/>
    </row>
    <row r="33">
      <c r="A33" s="17" t="n"/>
      <c r="B33" s="18" t="n"/>
      <c r="C33" s="18" t="n"/>
      <c r="D33" s="18" t="n"/>
      <c r="E33" s="18" t="n"/>
      <c r="F33" s="18" t="n"/>
      <c r="G33" s="19" t="n"/>
      <c r="H33" s="20" t="n"/>
      <c r="I33" s="21" t="n"/>
      <c r="J33" s="18" t="n"/>
      <c r="K33" s="18" t="n"/>
      <c r="L33" s="18" t="n"/>
      <c r="M33" s="18" t="n"/>
      <c r="N33" s="18" t="n"/>
      <c r="O33" s="18" t="n"/>
      <c r="P33" s="18" t="n"/>
      <c r="Q33" s="18" t="n"/>
    </row>
    <row r="34">
      <c r="A34" s="17" t="n"/>
      <c r="B34" s="18" t="n"/>
      <c r="C34" s="18" t="n"/>
      <c r="D34" s="18" t="n"/>
      <c r="E34" s="18" t="n"/>
      <c r="F34" s="18" t="n"/>
      <c r="G34" s="19" t="n"/>
      <c r="H34" s="20" t="n"/>
      <c r="I34" s="21" t="n"/>
      <c r="J34" s="18" t="n"/>
      <c r="K34" s="18" t="n"/>
      <c r="L34" s="18" t="n"/>
      <c r="M34" s="18" t="n"/>
      <c r="N34" s="18" t="n"/>
      <c r="O34" s="18" t="n"/>
      <c r="P34" s="18" t="n"/>
      <c r="Q34" s="18" t="n"/>
    </row>
    <row r="35">
      <c r="A35" s="17" t="n"/>
      <c r="B35" s="18" t="n"/>
      <c r="C35" s="18" t="n"/>
      <c r="D35" s="18" t="n"/>
      <c r="E35" s="18" t="n"/>
      <c r="F35" s="18" t="n"/>
      <c r="G35" s="19" t="n"/>
      <c r="H35" s="20" t="n"/>
      <c r="I35" s="21" t="n"/>
      <c r="J35" s="18" t="n"/>
      <c r="K35" s="18" t="n"/>
      <c r="L35" s="18" t="n"/>
      <c r="M35" s="18" t="n"/>
      <c r="N35" s="18" t="n"/>
      <c r="O35" s="18" t="n"/>
      <c r="P35" s="18" t="n"/>
      <c r="Q35" s="18" t="n"/>
    </row>
    <row r="36">
      <c r="A36" s="17" t="n"/>
      <c r="B36" s="18" t="n"/>
      <c r="C36" s="18" t="n"/>
      <c r="D36" s="18" t="n"/>
      <c r="E36" s="18" t="n"/>
      <c r="F36" s="18" t="n"/>
      <c r="G36" s="19" t="n"/>
      <c r="H36" s="20" t="n"/>
      <c r="I36" s="21" t="n"/>
      <c r="J36" s="18" t="n"/>
      <c r="K36" s="18" t="n"/>
      <c r="L36" s="18" t="n"/>
      <c r="M36" s="18" t="n"/>
      <c r="N36" s="18" t="n"/>
      <c r="O36" s="18" t="n"/>
      <c r="P36" s="18" t="n"/>
      <c r="Q36" s="18" t="n"/>
    </row>
    <row r="37">
      <c r="A37" s="17" t="n"/>
      <c r="B37" s="18" t="n"/>
      <c r="C37" s="18" t="n"/>
      <c r="D37" s="18" t="n"/>
      <c r="E37" s="18" t="n"/>
      <c r="F37" s="18" t="n"/>
      <c r="G37" s="19" t="n"/>
      <c r="H37" s="20" t="n"/>
      <c r="I37" s="21" t="n"/>
      <c r="J37" s="18" t="n"/>
      <c r="K37" s="18" t="n"/>
      <c r="L37" s="18" t="n"/>
      <c r="M37" s="18" t="n"/>
      <c r="N37" s="18" t="n"/>
      <c r="O37" s="18" t="n"/>
      <c r="P37" s="18" t="n"/>
      <c r="Q37" s="18" t="n"/>
    </row>
    <row r="38">
      <c r="A38" s="17" t="n"/>
      <c r="B38" s="18" t="n"/>
      <c r="C38" s="18" t="n"/>
      <c r="D38" s="18" t="n"/>
      <c r="E38" s="18" t="n"/>
      <c r="F38" s="18" t="n"/>
      <c r="G38" s="19" t="n"/>
      <c r="H38" s="20" t="n"/>
      <c r="I38" s="21" t="n"/>
      <c r="J38" s="18" t="n"/>
      <c r="K38" s="18" t="n"/>
      <c r="L38" s="18" t="n"/>
      <c r="M38" s="18" t="n"/>
      <c r="N38" s="18" t="n"/>
      <c r="O38" s="18" t="n"/>
      <c r="P38" s="18" t="n"/>
      <c r="Q38" s="18" t="n"/>
    </row>
    <row r="39">
      <c r="A39" s="17" t="n"/>
      <c r="B39" s="18" t="n"/>
      <c r="C39" s="18" t="n"/>
      <c r="D39" s="18" t="n"/>
      <c r="E39" s="18" t="n"/>
      <c r="F39" s="18" t="n"/>
      <c r="G39" s="19" t="n"/>
      <c r="H39" s="20" t="n"/>
      <c r="I39" s="21" t="n"/>
      <c r="J39" s="18" t="n"/>
      <c r="K39" s="18" t="n"/>
      <c r="L39" s="18" t="n"/>
      <c r="M39" s="18" t="n"/>
      <c r="N39" s="18" t="n"/>
      <c r="O39" s="18" t="n"/>
      <c r="P39" s="18" t="n"/>
      <c r="Q39" s="18" t="n"/>
    </row>
    <row r="40">
      <c r="A40" s="17" t="n"/>
      <c r="B40" s="18" t="n"/>
      <c r="C40" s="18" t="n"/>
      <c r="D40" s="18" t="n"/>
      <c r="E40" s="18" t="n"/>
      <c r="F40" s="18" t="n"/>
      <c r="G40" s="19" t="n"/>
      <c r="H40" s="20" t="n"/>
      <c r="I40" s="21" t="n"/>
      <c r="J40" s="18" t="n"/>
      <c r="K40" s="18" t="n"/>
      <c r="L40" s="18" t="n"/>
      <c r="M40" s="18" t="n"/>
      <c r="N40" s="18" t="n"/>
      <c r="O40" s="18" t="n"/>
      <c r="P40" s="18" t="n"/>
      <c r="Q40" s="18" t="n"/>
    </row>
    <row r="41">
      <c r="A41" s="17" t="n"/>
      <c r="B41" s="18" t="n"/>
      <c r="C41" s="18" t="n"/>
      <c r="D41" s="18" t="n"/>
      <c r="E41" s="18" t="n"/>
      <c r="F41" s="18" t="n"/>
      <c r="G41" s="19" t="n"/>
      <c r="H41" s="20" t="n"/>
      <c r="I41" s="21" t="n"/>
      <c r="J41" s="18" t="n"/>
      <c r="K41" s="18" t="n"/>
      <c r="L41" s="18" t="n"/>
      <c r="M41" s="18" t="n"/>
      <c r="N41" s="18" t="n"/>
      <c r="O41" s="18" t="n"/>
      <c r="P41" s="18" t="n"/>
      <c r="Q41" s="18" t="n"/>
    </row>
    <row r="42">
      <c r="A42" s="17" t="n"/>
      <c r="B42" s="18" t="n"/>
      <c r="C42" s="18" t="n"/>
      <c r="D42" s="18" t="n"/>
      <c r="E42" s="18" t="n"/>
      <c r="F42" s="18" t="n"/>
      <c r="G42" s="19" t="n"/>
      <c r="H42" s="20" t="n"/>
      <c r="I42" s="21" t="n"/>
      <c r="J42" s="18" t="n"/>
      <c r="K42" s="18" t="n"/>
      <c r="L42" s="18" t="n"/>
      <c r="M42" s="18" t="n"/>
      <c r="N42" s="18" t="n"/>
      <c r="O42" s="18" t="n"/>
      <c r="P42" s="18" t="n"/>
      <c r="Q42" s="18" t="n"/>
    </row>
    <row r="43">
      <c r="A43" s="17" t="n"/>
      <c r="B43" s="18" t="n"/>
      <c r="C43" s="18" t="n"/>
      <c r="D43" s="18" t="n"/>
      <c r="E43" s="18" t="n"/>
      <c r="F43" s="18" t="n"/>
      <c r="G43" s="19" t="n"/>
      <c r="H43" s="20" t="n"/>
      <c r="I43" s="21" t="n"/>
      <c r="J43" s="18" t="n"/>
      <c r="K43" s="18" t="n"/>
      <c r="L43" s="18" t="n"/>
      <c r="M43" s="18" t="n"/>
      <c r="N43" s="18" t="n"/>
      <c r="O43" s="18" t="n"/>
      <c r="P43" s="18" t="n"/>
      <c r="Q43" s="18" t="n"/>
    </row>
    <row r="44">
      <c r="A44" s="17" t="n"/>
      <c r="B44" s="18" t="n"/>
      <c r="C44" s="18" t="n"/>
      <c r="D44" s="18" t="n"/>
      <c r="E44" s="18" t="n"/>
      <c r="F44" s="18" t="n"/>
      <c r="G44" s="19" t="n"/>
      <c r="H44" s="20" t="n"/>
      <c r="I44" s="21" t="n"/>
      <c r="J44" s="18" t="n"/>
      <c r="K44" s="18" t="n"/>
      <c r="L44" s="18" t="n"/>
      <c r="M44" s="18" t="n"/>
      <c r="N44" s="18" t="n"/>
      <c r="O44" s="18" t="n"/>
      <c r="P44" s="18" t="n"/>
      <c r="Q44" s="18" t="n"/>
    </row>
    <row r="45">
      <c r="A45" s="17" t="n"/>
      <c r="B45" s="18" t="n"/>
      <c r="C45" s="18" t="n"/>
      <c r="D45" s="18" t="n"/>
      <c r="E45" s="18" t="n"/>
      <c r="F45" s="18" t="n"/>
      <c r="G45" s="19" t="n"/>
      <c r="H45" s="20" t="n"/>
      <c r="I45" s="21" t="n"/>
      <c r="J45" s="18" t="n"/>
      <c r="K45" s="18" t="n"/>
      <c r="L45" s="18" t="n"/>
      <c r="M45" s="18" t="n"/>
      <c r="N45" s="18" t="n"/>
      <c r="O45" s="18" t="n"/>
      <c r="P45" s="18" t="n"/>
      <c r="Q45" s="18" t="n"/>
    </row>
    <row r="46">
      <c r="A46" s="17" t="n"/>
      <c r="B46" s="18" t="n"/>
      <c r="C46" s="18" t="n"/>
      <c r="D46" s="18" t="n"/>
      <c r="E46" s="18" t="n"/>
      <c r="F46" s="18" t="n"/>
      <c r="G46" s="19" t="n"/>
      <c r="H46" s="20" t="n"/>
      <c r="I46" s="21" t="n"/>
      <c r="J46" s="18" t="n"/>
      <c r="K46" s="18" t="n"/>
      <c r="L46" s="18" t="n"/>
      <c r="M46" s="18" t="n"/>
      <c r="N46" s="18" t="n"/>
      <c r="O46" s="18" t="n"/>
      <c r="P46" s="18" t="n"/>
      <c r="Q46" s="18" t="n"/>
    </row>
    <row r="47">
      <c r="A47" s="17" t="n"/>
      <c r="B47" s="18" t="n"/>
      <c r="C47" s="18" t="n"/>
      <c r="D47" s="18" t="n"/>
      <c r="E47" s="18" t="n"/>
      <c r="F47" s="18" t="n"/>
      <c r="G47" s="19" t="n"/>
      <c r="H47" s="20" t="n"/>
      <c r="I47" s="21" t="n"/>
      <c r="J47" s="18" t="n"/>
      <c r="K47" s="18" t="n"/>
      <c r="L47" s="18" t="n"/>
      <c r="M47" s="18" t="n"/>
      <c r="N47" s="18" t="n"/>
      <c r="O47" s="18" t="n"/>
      <c r="P47" s="18" t="n"/>
      <c r="Q47" s="18" t="n"/>
    </row>
    <row r="48">
      <c r="A48" s="17" t="n"/>
      <c r="B48" s="18" t="n"/>
      <c r="C48" s="18" t="n"/>
      <c r="D48" s="18" t="n"/>
      <c r="E48" s="18" t="n"/>
      <c r="F48" s="18" t="n"/>
      <c r="G48" s="19" t="n"/>
      <c r="H48" s="20" t="n"/>
      <c r="I48" s="21" t="n"/>
      <c r="J48" s="18" t="n"/>
      <c r="K48" s="18" t="n"/>
      <c r="L48" s="18" t="n"/>
      <c r="M48" s="18" t="n"/>
      <c r="N48" s="18" t="n"/>
      <c r="O48" s="18" t="n"/>
      <c r="P48" s="18" t="n"/>
      <c r="Q48" s="18" t="n"/>
    </row>
    <row r="49">
      <c r="A49" s="17" t="n"/>
      <c r="B49" s="18" t="n"/>
      <c r="C49" s="18" t="n"/>
      <c r="D49" s="18" t="n"/>
      <c r="E49" s="18" t="n"/>
      <c r="F49" s="18" t="n"/>
      <c r="G49" s="19" t="n"/>
      <c r="H49" s="20" t="n"/>
      <c r="I49" s="21" t="n"/>
      <c r="J49" s="18" t="n"/>
      <c r="K49" s="18" t="n"/>
      <c r="L49" s="18" t="n"/>
      <c r="M49" s="18" t="n"/>
      <c r="N49" s="18" t="n"/>
      <c r="O49" s="18" t="n"/>
      <c r="P49" s="18" t="n"/>
      <c r="Q49" s="18" t="n"/>
    </row>
    <row r="50">
      <c r="A50" s="17" t="n"/>
      <c r="B50" s="18" t="n"/>
      <c r="C50" s="18" t="n"/>
      <c r="D50" s="18" t="n"/>
      <c r="E50" s="18" t="n"/>
      <c r="F50" s="18" t="n"/>
      <c r="G50" s="19" t="n"/>
      <c r="H50" s="20" t="n"/>
      <c r="I50" s="21" t="n"/>
      <c r="J50" s="18" t="n"/>
      <c r="K50" s="18" t="n"/>
      <c r="L50" s="18" t="n"/>
      <c r="M50" s="18" t="n"/>
      <c r="N50" s="18" t="n"/>
      <c r="O50" s="18" t="n"/>
      <c r="P50" s="18" t="n"/>
      <c r="Q50" s="18" t="n"/>
    </row>
    <row r="51">
      <c r="A51" s="17" t="n"/>
      <c r="B51" s="18" t="n"/>
      <c r="C51" s="18" t="n"/>
      <c r="D51" s="18" t="n"/>
      <c r="E51" s="18" t="n"/>
      <c r="F51" s="18" t="n"/>
      <c r="G51" s="19" t="n"/>
      <c r="H51" s="20" t="n"/>
      <c r="I51" s="21" t="n"/>
      <c r="J51" s="18" t="n"/>
      <c r="K51" s="18" t="n"/>
      <c r="L51" s="18" t="n"/>
      <c r="M51" s="18" t="n"/>
      <c r="N51" s="18" t="n"/>
      <c r="O51" s="18" t="n"/>
      <c r="P51" s="18" t="n"/>
      <c r="Q51" s="18" t="n"/>
    </row>
    <row r="52">
      <c r="A52" s="17" t="n"/>
      <c r="B52" s="18" t="n"/>
      <c r="C52" s="18" t="n"/>
      <c r="D52" s="18" t="n"/>
      <c r="E52" s="18" t="n"/>
      <c r="F52" s="18" t="n"/>
      <c r="G52" s="19" t="n"/>
      <c r="H52" s="20" t="n"/>
      <c r="I52" s="21" t="n"/>
      <c r="J52" s="18" t="n"/>
      <c r="K52" s="18" t="n"/>
      <c r="L52" s="18" t="n"/>
      <c r="M52" s="18" t="n"/>
      <c r="N52" s="18" t="n"/>
      <c r="O52" s="18" t="n"/>
      <c r="P52" s="18" t="n"/>
      <c r="Q52" s="18" t="n"/>
    </row>
    <row r="53">
      <c r="A53" s="17" t="n"/>
      <c r="B53" s="18" t="n"/>
      <c r="C53" s="18" t="n"/>
      <c r="D53" s="18" t="n"/>
      <c r="E53" s="18" t="n"/>
      <c r="F53" s="18" t="n"/>
      <c r="G53" s="19" t="n"/>
      <c r="H53" s="20" t="n"/>
      <c r="I53" s="21" t="n"/>
      <c r="J53" s="18" t="n"/>
      <c r="K53" s="18" t="n"/>
      <c r="L53" s="18" t="n"/>
      <c r="M53" s="18" t="n"/>
      <c r="N53" s="18" t="n"/>
      <c r="O53" s="18" t="n"/>
      <c r="P53" s="18" t="n"/>
      <c r="Q53" s="18" t="n"/>
    </row>
    <row r="54">
      <c r="A54" s="17" t="n"/>
      <c r="B54" s="18" t="n"/>
      <c r="C54" s="18" t="n"/>
      <c r="D54" s="18" t="n"/>
      <c r="E54" s="18" t="n"/>
      <c r="F54" s="18" t="n"/>
      <c r="G54" s="19" t="n"/>
      <c r="H54" s="20" t="n"/>
      <c r="I54" s="21" t="n"/>
      <c r="J54" s="18" t="n"/>
      <c r="K54" s="18" t="n"/>
      <c r="L54" s="18" t="n"/>
      <c r="M54" s="18" t="n"/>
      <c r="N54" s="18" t="n"/>
      <c r="O54" s="18" t="n"/>
      <c r="P54" s="18" t="n"/>
      <c r="Q54" s="18" t="n"/>
    </row>
    <row r="55">
      <c r="A55" s="17" t="n"/>
      <c r="B55" s="18" t="n"/>
      <c r="C55" s="18" t="n"/>
      <c r="D55" s="18" t="n"/>
      <c r="E55" s="18" t="n"/>
      <c r="F55" s="18" t="n"/>
      <c r="G55" s="19" t="n"/>
      <c r="H55" s="20" t="n"/>
      <c r="I55" s="21" t="n"/>
      <c r="J55" s="18" t="n"/>
      <c r="K55" s="18" t="n"/>
      <c r="L55" s="18" t="n"/>
      <c r="M55" s="18" t="n"/>
      <c r="N55" s="18" t="n"/>
      <c r="O55" s="18" t="n"/>
      <c r="P55" s="18" t="n"/>
      <c r="Q55" s="18" t="n"/>
    </row>
    <row r="56">
      <c r="A56" s="17" t="n"/>
      <c r="B56" s="18" t="n"/>
      <c r="C56" s="18" t="n"/>
      <c r="D56" s="18" t="n"/>
      <c r="E56" s="18" t="n"/>
      <c r="F56" s="18" t="n"/>
      <c r="G56" s="19" t="n"/>
      <c r="H56" s="20" t="n"/>
      <c r="I56" s="21" t="n"/>
      <c r="J56" s="18" t="n"/>
      <c r="K56" s="18" t="n"/>
      <c r="L56" s="18" t="n"/>
      <c r="M56" s="18" t="n"/>
      <c r="N56" s="18" t="n"/>
      <c r="O56" s="18" t="n"/>
      <c r="P56" s="18" t="n"/>
      <c r="Q56" s="18" t="n"/>
    </row>
    <row r="57">
      <c r="A57" s="17" t="n"/>
      <c r="B57" s="18" t="n"/>
      <c r="C57" s="18" t="n"/>
      <c r="D57" s="18" t="n"/>
      <c r="E57" s="18" t="n"/>
      <c r="F57" s="18" t="n"/>
      <c r="G57" s="19" t="n"/>
      <c r="H57" s="20" t="n"/>
      <c r="I57" s="21" t="n"/>
      <c r="J57" s="18" t="n"/>
      <c r="K57" s="18" t="n"/>
      <c r="L57" s="18" t="n"/>
      <c r="M57" s="18" t="n"/>
      <c r="N57" s="18" t="n"/>
      <c r="O57" s="18" t="n"/>
      <c r="P57" s="18" t="n"/>
      <c r="Q57" s="18" t="n"/>
    </row>
    <row r="58">
      <c r="A58" s="17" t="n"/>
      <c r="B58" s="18" t="n"/>
      <c r="C58" s="18" t="n"/>
      <c r="D58" s="18" t="n"/>
      <c r="E58" s="18" t="n"/>
      <c r="F58" s="18" t="n"/>
      <c r="G58" s="19" t="n"/>
      <c r="H58" s="20" t="n"/>
      <c r="I58" s="21" t="n"/>
      <c r="J58" s="18" t="n"/>
      <c r="K58" s="18" t="n"/>
      <c r="L58" s="18" t="n"/>
      <c r="M58" s="18" t="n"/>
      <c r="N58" s="18" t="n"/>
      <c r="O58" s="18" t="n"/>
      <c r="P58" s="18" t="n"/>
      <c r="Q58" s="18" t="n"/>
    </row>
    <row r="59">
      <c r="A59" s="17" t="n"/>
      <c r="B59" s="18" t="n"/>
      <c r="C59" s="18" t="n"/>
      <c r="D59" s="18" t="n"/>
      <c r="E59" s="18" t="n"/>
      <c r="F59" s="18" t="n"/>
      <c r="G59" s="19" t="n"/>
      <c r="H59" s="20" t="n"/>
      <c r="I59" s="21" t="n"/>
      <c r="J59" s="18" t="n"/>
      <c r="K59" s="18" t="n"/>
      <c r="L59" s="18" t="n"/>
      <c r="M59" s="18" t="n"/>
      <c r="N59" s="18" t="n"/>
      <c r="O59" s="18" t="n"/>
      <c r="P59" s="18" t="n"/>
      <c r="Q59" s="18" t="n"/>
    </row>
    <row r="60">
      <c r="A60" s="17" t="n"/>
      <c r="B60" s="18" t="n"/>
      <c r="C60" s="18" t="n"/>
      <c r="D60" s="18" t="n"/>
      <c r="E60" s="18" t="n"/>
      <c r="F60" s="18" t="n"/>
      <c r="G60" s="19" t="n"/>
      <c r="H60" s="20" t="n"/>
      <c r="I60" s="21" t="n"/>
      <c r="J60" s="18" t="n"/>
      <c r="K60" s="18" t="n"/>
      <c r="L60" s="18" t="n"/>
      <c r="M60" s="18" t="n"/>
      <c r="N60" s="18" t="n"/>
      <c r="O60" s="18" t="n"/>
      <c r="P60" s="18" t="n"/>
      <c r="Q60" s="18" t="n"/>
    </row>
    <row r="61">
      <c r="A61" s="17" t="n"/>
      <c r="B61" s="18" t="n"/>
      <c r="C61" s="18" t="n"/>
      <c r="D61" s="18" t="n"/>
      <c r="E61" s="18" t="n"/>
      <c r="F61" s="18" t="n"/>
      <c r="G61" s="19" t="n"/>
      <c r="H61" s="20" t="n"/>
      <c r="I61" s="21" t="n"/>
      <c r="J61" s="18" t="n"/>
      <c r="K61" s="18" t="n"/>
      <c r="L61" s="18" t="n"/>
      <c r="M61" s="18" t="n"/>
      <c r="N61" s="18" t="n"/>
      <c r="O61" s="18" t="n"/>
      <c r="P61" s="18" t="n"/>
      <c r="Q61" s="18" t="n"/>
    </row>
    <row r="62">
      <c r="A62" s="17" t="n"/>
      <c r="B62" s="18" t="n"/>
      <c r="C62" s="18" t="n"/>
      <c r="D62" s="18" t="n"/>
      <c r="E62" s="18" t="n"/>
      <c r="F62" s="18" t="n"/>
      <c r="G62" s="19" t="n"/>
      <c r="H62" s="20" t="n"/>
      <c r="I62" s="21" t="n"/>
      <c r="J62" s="18" t="n"/>
      <c r="K62" s="18" t="n"/>
      <c r="L62" s="18" t="n"/>
      <c r="M62" s="18" t="n"/>
      <c r="N62" s="18" t="n"/>
      <c r="O62" s="18" t="n"/>
      <c r="P62" s="18" t="n"/>
      <c r="Q62" s="18" t="n"/>
    </row>
    <row r="63">
      <c r="A63" s="17" t="n"/>
      <c r="B63" s="18" t="n"/>
      <c r="C63" s="18" t="n"/>
      <c r="D63" s="18" t="n"/>
      <c r="E63" s="18" t="n"/>
      <c r="F63" s="18" t="n"/>
      <c r="G63" s="19" t="n"/>
      <c r="H63" s="20" t="n"/>
      <c r="I63" s="21" t="n"/>
      <c r="J63" s="18" t="n"/>
      <c r="K63" s="18" t="n"/>
      <c r="L63" s="18" t="n"/>
      <c r="M63" s="18" t="n"/>
      <c r="N63" s="18" t="n"/>
      <c r="O63" s="18" t="n"/>
      <c r="P63" s="18" t="n"/>
      <c r="Q63" s="18" t="n"/>
    </row>
    <row r="64">
      <c r="A64" s="17" t="n"/>
      <c r="B64" s="18" t="n"/>
      <c r="C64" s="18" t="n"/>
      <c r="D64" s="18" t="n"/>
      <c r="E64" s="18" t="n"/>
      <c r="F64" s="18" t="n"/>
      <c r="G64" s="19" t="n"/>
      <c r="H64" s="20" t="n"/>
      <c r="I64" s="21" t="n"/>
      <c r="J64" s="18" t="n"/>
      <c r="K64" s="18" t="n"/>
      <c r="L64" s="18" t="n"/>
      <c r="M64" s="18" t="n"/>
      <c r="N64" s="18" t="n"/>
      <c r="O64" s="18" t="n"/>
      <c r="P64" s="18" t="n"/>
      <c r="Q64" s="18" t="n"/>
    </row>
    <row r="65">
      <c r="A65" s="17" t="n"/>
      <c r="B65" s="18" t="n"/>
      <c r="C65" s="18" t="n"/>
      <c r="D65" s="18" t="n"/>
      <c r="E65" s="18" t="n"/>
      <c r="F65" s="18" t="n"/>
      <c r="G65" s="19" t="n"/>
      <c r="H65" s="20" t="n"/>
      <c r="I65" s="21" t="n"/>
      <c r="J65" s="18" t="n"/>
      <c r="K65" s="18" t="n"/>
      <c r="L65" s="18" t="n"/>
      <c r="M65" s="18" t="n"/>
      <c r="N65" s="18" t="n"/>
      <c r="O65" s="18" t="n"/>
      <c r="P65" s="18" t="n"/>
      <c r="Q65" s="18" t="n"/>
    </row>
    <row r="66">
      <c r="A66" s="17" t="n"/>
      <c r="B66" s="18" t="n"/>
      <c r="C66" s="18" t="n"/>
      <c r="D66" s="18" t="n"/>
      <c r="E66" s="18" t="n"/>
      <c r="F66" s="18" t="n"/>
      <c r="G66" s="19" t="n"/>
      <c r="H66" s="20" t="n"/>
      <c r="I66" s="21" t="n"/>
      <c r="J66" s="18" t="n"/>
      <c r="K66" s="18" t="n"/>
      <c r="L66" s="18" t="n"/>
      <c r="M66" s="18" t="n"/>
      <c r="N66" s="18" t="n"/>
      <c r="O66" s="18" t="n"/>
      <c r="P66" s="18" t="n"/>
      <c r="Q66" s="18" t="n"/>
    </row>
    <row r="67">
      <c r="A67" s="17" t="n"/>
      <c r="B67" s="18" t="n"/>
      <c r="C67" s="18" t="n"/>
      <c r="D67" s="18" t="n"/>
      <c r="E67" s="18" t="n"/>
      <c r="F67" s="18" t="n"/>
      <c r="G67" s="19" t="n"/>
      <c r="H67" s="20" t="n"/>
      <c r="I67" s="21" t="n"/>
      <c r="J67" s="18" t="n"/>
      <c r="K67" s="18" t="n"/>
      <c r="L67" s="18" t="n"/>
      <c r="M67" s="18" t="n"/>
      <c r="N67" s="18" t="n"/>
      <c r="O67" s="18" t="n"/>
      <c r="P67" s="18" t="n"/>
      <c r="Q67" s="18" t="n"/>
    </row>
    <row r="68">
      <c r="A68" s="17" t="n"/>
      <c r="B68" s="18" t="n"/>
      <c r="C68" s="18" t="n"/>
      <c r="D68" s="18" t="n"/>
      <c r="E68" s="18" t="n"/>
      <c r="F68" s="18" t="n"/>
      <c r="G68" s="19" t="n"/>
      <c r="H68" s="20" t="n"/>
      <c r="I68" s="21" t="n"/>
      <c r="J68" s="18" t="n"/>
      <c r="K68" s="18" t="n"/>
      <c r="L68" s="18" t="n"/>
      <c r="M68" s="18" t="n"/>
      <c r="N68" s="18" t="n"/>
      <c r="O68" s="18" t="n"/>
      <c r="P68" s="18" t="n"/>
      <c r="Q68" s="18" t="n"/>
    </row>
    <row r="69">
      <c r="A69" s="17" t="n"/>
      <c r="B69" s="18" t="n"/>
      <c r="C69" s="18" t="n"/>
      <c r="D69" s="18" t="n"/>
      <c r="E69" s="18" t="n"/>
      <c r="F69" s="18" t="n"/>
      <c r="G69" s="19" t="n"/>
      <c r="H69" s="20" t="n"/>
      <c r="I69" s="21" t="n"/>
      <c r="J69" s="18" t="n"/>
      <c r="K69" s="18" t="n"/>
      <c r="L69" s="18" t="n"/>
      <c r="M69" s="18" t="n"/>
      <c r="N69" s="18" t="n"/>
      <c r="O69" s="18" t="n"/>
      <c r="P69" s="18" t="n"/>
      <c r="Q69" s="18" t="n"/>
    </row>
    <row r="70">
      <c r="A70" s="17" t="n"/>
      <c r="B70" s="18" t="n"/>
      <c r="C70" s="18" t="n"/>
      <c r="D70" s="18" t="n"/>
      <c r="E70" s="18" t="n"/>
      <c r="F70" s="18" t="n"/>
      <c r="G70" s="19" t="n"/>
      <c r="H70" s="20" t="n"/>
      <c r="I70" s="21" t="n"/>
      <c r="J70" s="18" t="n"/>
      <c r="K70" s="18" t="n"/>
      <c r="L70" s="18" t="n"/>
      <c r="M70" s="18" t="n"/>
      <c r="N70" s="18" t="n"/>
      <c r="O70" s="18" t="n"/>
      <c r="P70" s="18" t="n"/>
      <c r="Q70" s="18" t="n"/>
    </row>
    <row r="71">
      <c r="A71" s="17" t="n"/>
      <c r="B71" s="18" t="n"/>
      <c r="C71" s="18" t="n"/>
      <c r="D71" s="18" t="n"/>
      <c r="E71" s="18" t="n"/>
      <c r="F71" s="18" t="n"/>
      <c r="G71" s="19" t="n"/>
      <c r="H71" s="20" t="n"/>
      <c r="I71" s="21" t="n"/>
      <c r="J71" s="18" t="n"/>
      <c r="K71" s="18" t="n"/>
      <c r="L71" s="18" t="n"/>
      <c r="M71" s="18" t="n"/>
      <c r="N71" s="18" t="n"/>
      <c r="O71" s="18" t="n"/>
      <c r="P71" s="18" t="n"/>
      <c r="Q71" s="18" t="n"/>
    </row>
    <row r="72">
      <c r="A72" s="17" t="n"/>
      <c r="B72" s="18" t="n"/>
      <c r="C72" s="18" t="n"/>
      <c r="D72" s="18" t="n"/>
      <c r="E72" s="18" t="n"/>
      <c r="F72" s="18" t="n"/>
      <c r="G72" s="19" t="n"/>
      <c r="H72" s="20" t="n"/>
      <c r="I72" s="21" t="n"/>
      <c r="J72" s="18" t="n"/>
      <c r="K72" s="18" t="n"/>
      <c r="L72" s="18" t="n"/>
      <c r="M72" s="18" t="n"/>
      <c r="N72" s="18" t="n"/>
      <c r="O72" s="18" t="n"/>
      <c r="P72" s="18" t="n"/>
      <c r="Q72" s="18" t="n"/>
    </row>
    <row r="73">
      <c r="A73" s="17" t="n"/>
      <c r="B73" s="18" t="n"/>
      <c r="C73" s="18" t="n"/>
      <c r="D73" s="18" t="n"/>
      <c r="E73" s="18" t="n"/>
      <c r="F73" s="18" t="n"/>
      <c r="G73" s="19" t="n"/>
      <c r="H73" s="20" t="n"/>
      <c r="I73" s="21" t="n"/>
      <c r="J73" s="18" t="n"/>
      <c r="K73" s="18" t="n"/>
      <c r="L73" s="18" t="n"/>
      <c r="M73" s="18" t="n"/>
      <c r="N73" s="18" t="n"/>
      <c r="O73" s="18" t="n"/>
      <c r="P73" s="18" t="n"/>
      <c r="Q73" s="18" t="n"/>
    </row>
    <row r="74">
      <c r="A74" s="17" t="n"/>
      <c r="B74" s="18" t="n"/>
      <c r="C74" s="18" t="n"/>
      <c r="D74" s="18" t="n"/>
      <c r="E74" s="18" t="n"/>
      <c r="F74" s="18" t="n"/>
      <c r="G74" s="19" t="n"/>
      <c r="H74" s="20" t="n"/>
      <c r="I74" s="21" t="n"/>
      <c r="J74" s="18" t="n"/>
      <c r="K74" s="18" t="n"/>
      <c r="L74" s="18" t="n"/>
      <c r="M74" s="18" t="n"/>
      <c r="N74" s="18" t="n"/>
      <c r="O74" s="18" t="n"/>
      <c r="P74" s="18" t="n"/>
      <c r="Q74" s="18" t="n"/>
    </row>
    <row r="75">
      <c r="A75" s="17" t="n"/>
      <c r="B75" s="18" t="n"/>
      <c r="C75" s="18" t="n"/>
      <c r="D75" s="18" t="n"/>
      <c r="E75" s="18" t="n"/>
      <c r="F75" s="18" t="n"/>
      <c r="G75" s="19" t="n"/>
      <c r="H75" s="20" t="n"/>
      <c r="I75" s="21" t="n"/>
      <c r="J75" s="18" t="n"/>
      <c r="K75" s="18" t="n"/>
      <c r="L75" s="18" t="n"/>
      <c r="M75" s="18" t="n"/>
      <c r="N75" s="18" t="n"/>
      <c r="O75" s="18" t="n"/>
      <c r="P75" s="18" t="n"/>
      <c r="Q75" s="18" t="n"/>
    </row>
    <row r="76">
      <c r="A76" s="17" t="n"/>
      <c r="B76" s="18" t="n"/>
      <c r="C76" s="18" t="n"/>
      <c r="D76" s="18" t="n"/>
      <c r="E76" s="18" t="n"/>
      <c r="F76" s="18" t="n"/>
      <c r="G76" s="19" t="n"/>
      <c r="H76" s="20" t="n"/>
      <c r="I76" s="21" t="n"/>
      <c r="J76" s="18" t="n"/>
      <c r="K76" s="18" t="n"/>
      <c r="L76" s="18" t="n"/>
      <c r="M76" s="18" t="n"/>
      <c r="N76" s="18" t="n"/>
      <c r="O76" s="18" t="n"/>
      <c r="P76" s="18" t="n"/>
      <c r="Q76" s="18" t="n"/>
    </row>
    <row r="77">
      <c r="A77" s="17" t="n"/>
      <c r="B77" s="18" t="n"/>
      <c r="C77" s="18" t="n"/>
      <c r="D77" s="18" t="n"/>
      <c r="E77" s="18" t="n"/>
      <c r="F77" s="18" t="n"/>
      <c r="G77" s="19" t="n"/>
      <c r="H77" s="20" t="n"/>
      <c r="I77" s="21" t="n"/>
      <c r="J77" s="18" t="n"/>
      <c r="K77" s="18" t="n"/>
      <c r="L77" s="18" t="n"/>
      <c r="M77" s="18" t="n"/>
      <c r="N77" s="18" t="n"/>
      <c r="O77" s="18" t="n"/>
      <c r="P77" s="18" t="n"/>
      <c r="Q77" s="18" t="n"/>
    </row>
    <row r="78">
      <c r="A78" s="17" t="n"/>
      <c r="B78" s="18" t="n"/>
      <c r="C78" s="18" t="n"/>
      <c r="D78" s="18" t="n"/>
      <c r="E78" s="18" t="n"/>
      <c r="F78" s="18" t="n"/>
      <c r="G78" s="19" t="n"/>
      <c r="H78" s="20" t="n"/>
      <c r="I78" s="21" t="n"/>
      <c r="J78" s="18" t="n"/>
      <c r="K78" s="18" t="n"/>
      <c r="L78" s="18" t="n"/>
      <c r="M78" s="18" t="n"/>
      <c r="N78" s="18" t="n"/>
      <c r="O78" s="18" t="n"/>
      <c r="P78" s="18" t="n"/>
      <c r="Q78" s="18" t="n"/>
    </row>
    <row r="79">
      <c r="A79" s="17" t="n"/>
      <c r="B79" s="18" t="n"/>
      <c r="C79" s="18" t="n"/>
      <c r="D79" s="18" t="n"/>
      <c r="E79" s="18" t="n"/>
      <c r="F79" s="18" t="n"/>
      <c r="G79" s="19" t="n"/>
      <c r="H79" s="20" t="n"/>
      <c r="I79" s="21" t="n"/>
      <c r="J79" s="18" t="n"/>
      <c r="K79" s="18" t="n"/>
      <c r="L79" s="18" t="n"/>
      <c r="M79" s="18" t="n"/>
      <c r="N79" s="18" t="n"/>
      <c r="O79" s="18" t="n"/>
      <c r="P79" s="18" t="n"/>
      <c r="Q79" s="18" t="n"/>
    </row>
    <row r="80">
      <c r="A80" s="17" t="n"/>
      <c r="B80" s="18" t="n"/>
      <c r="C80" s="18" t="n"/>
      <c r="D80" s="18" t="n"/>
      <c r="E80" s="18" t="n"/>
      <c r="F80" s="18" t="n"/>
      <c r="G80" s="19" t="n"/>
      <c r="H80" s="20" t="n"/>
      <c r="I80" s="21" t="n"/>
      <c r="J80" s="18" t="n"/>
      <c r="K80" s="18" t="n"/>
      <c r="L80" s="18" t="n"/>
      <c r="M80" s="18" t="n"/>
      <c r="N80" s="18" t="n"/>
      <c r="O80" s="18" t="n"/>
      <c r="P80" s="18" t="n"/>
      <c r="Q80" s="18" t="n"/>
    </row>
    <row r="81">
      <c r="A81" s="17" t="n"/>
      <c r="B81" s="18" t="n"/>
      <c r="C81" s="18" t="n"/>
      <c r="D81" s="18" t="n"/>
      <c r="E81" s="18" t="n"/>
      <c r="F81" s="18" t="n"/>
      <c r="G81" s="19" t="n"/>
      <c r="H81" s="20" t="n"/>
      <c r="I81" s="21" t="n"/>
      <c r="J81" s="18" t="n"/>
      <c r="K81" s="18" t="n"/>
      <c r="L81" s="18" t="n"/>
      <c r="M81" s="18" t="n"/>
      <c r="N81" s="18" t="n"/>
      <c r="O81" s="18" t="n"/>
      <c r="P81" s="18" t="n"/>
      <c r="Q81" s="18" t="n"/>
    </row>
    <row r="82">
      <c r="A82" s="17" t="n"/>
      <c r="B82" s="18" t="n"/>
      <c r="C82" s="18" t="n"/>
      <c r="D82" s="18" t="n"/>
      <c r="E82" s="18" t="n"/>
      <c r="F82" s="18" t="n"/>
      <c r="G82" s="19" t="n"/>
      <c r="H82" s="20" t="n"/>
      <c r="I82" s="21" t="n"/>
      <c r="J82" s="18" t="n"/>
      <c r="K82" s="18" t="n"/>
      <c r="L82" s="18" t="n"/>
      <c r="M82" s="18" t="n"/>
      <c r="N82" s="18" t="n"/>
      <c r="O82" s="18" t="n"/>
      <c r="P82" s="18" t="n"/>
      <c r="Q82" s="18" t="n"/>
    </row>
    <row r="83">
      <c r="A83" s="17" t="n"/>
      <c r="B83" s="18" t="n"/>
      <c r="C83" s="18" t="n"/>
      <c r="D83" s="18" t="n"/>
      <c r="E83" s="18" t="n"/>
      <c r="F83" s="18" t="n"/>
      <c r="G83" s="19" t="n"/>
      <c r="H83" s="20" t="n"/>
      <c r="I83" s="21" t="n"/>
      <c r="J83" s="18" t="n"/>
      <c r="K83" s="18" t="n"/>
      <c r="L83" s="18" t="n"/>
      <c r="M83" s="18" t="n"/>
      <c r="N83" s="18" t="n"/>
      <c r="O83" s="18" t="n"/>
      <c r="P83" s="18" t="n"/>
      <c r="Q83" s="18" t="n"/>
    </row>
    <row r="84">
      <c r="A84" s="17" t="n"/>
      <c r="B84" s="18" t="n"/>
      <c r="C84" s="18" t="n"/>
      <c r="D84" s="18" t="n"/>
      <c r="E84" s="18" t="n"/>
      <c r="F84" s="18" t="n"/>
      <c r="G84" s="19" t="n"/>
      <c r="H84" s="20" t="n"/>
      <c r="I84" s="21" t="n"/>
      <c r="J84" s="18" t="n"/>
      <c r="K84" s="18" t="n"/>
      <c r="L84" s="18" t="n"/>
      <c r="M84" s="18" t="n"/>
      <c r="N84" s="18" t="n"/>
      <c r="O84" s="18" t="n"/>
      <c r="P84" s="18" t="n"/>
      <c r="Q84" s="18" t="n"/>
    </row>
    <row r="85">
      <c r="A85" s="17" t="n"/>
      <c r="B85" s="18" t="n"/>
      <c r="C85" s="18" t="n"/>
      <c r="D85" s="18" t="n"/>
      <c r="E85" s="18" t="n"/>
      <c r="F85" s="18" t="n"/>
      <c r="G85" s="19" t="n"/>
      <c r="H85" s="20" t="n"/>
      <c r="I85" s="21" t="n"/>
      <c r="J85" s="18" t="n"/>
      <c r="K85" s="18" t="n"/>
      <c r="L85" s="18" t="n"/>
      <c r="M85" s="18" t="n"/>
      <c r="N85" s="18" t="n"/>
      <c r="O85" s="18" t="n"/>
      <c r="P85" s="18" t="n"/>
      <c r="Q85" s="18" t="n"/>
    </row>
    <row r="86">
      <c r="A86" s="17" t="n"/>
      <c r="B86" s="18" t="n"/>
      <c r="C86" s="18" t="n"/>
      <c r="D86" s="18" t="n"/>
      <c r="E86" s="18" t="n"/>
      <c r="F86" s="18" t="n"/>
      <c r="G86" s="19" t="n"/>
      <c r="H86" s="20" t="n"/>
      <c r="I86" s="21" t="n"/>
      <c r="J86" s="18" t="n"/>
      <c r="K86" s="18" t="n"/>
      <c r="L86" s="18" t="n"/>
      <c r="M86" s="18" t="n"/>
      <c r="N86" s="18" t="n"/>
      <c r="O86" s="18" t="n"/>
      <c r="P86" s="18" t="n"/>
      <c r="Q86" s="18" t="n"/>
    </row>
    <row r="87">
      <c r="A87" s="17" t="n"/>
      <c r="B87" s="18" t="n"/>
      <c r="C87" s="18" t="n"/>
      <c r="D87" s="18" t="n"/>
      <c r="E87" s="18" t="n"/>
      <c r="F87" s="18" t="n"/>
      <c r="G87" s="19" t="n"/>
      <c r="H87" s="20" t="n"/>
      <c r="I87" s="21" t="n"/>
      <c r="J87" s="18" t="n"/>
      <c r="K87" s="18" t="n"/>
      <c r="L87" s="18" t="n"/>
      <c r="M87" s="18" t="n"/>
      <c r="N87" s="18" t="n"/>
      <c r="O87" s="18" t="n"/>
      <c r="P87" s="18" t="n"/>
      <c r="Q87" s="18" t="n"/>
    </row>
    <row r="88">
      <c r="A88" s="17" t="n"/>
      <c r="B88" s="18" t="n"/>
      <c r="C88" s="18" t="n"/>
      <c r="D88" s="18" t="n"/>
      <c r="E88" s="18" t="n"/>
      <c r="F88" s="18" t="n"/>
      <c r="G88" s="19" t="n"/>
      <c r="H88" s="20" t="n"/>
      <c r="I88" s="21" t="n"/>
      <c r="J88" s="18" t="n"/>
      <c r="K88" s="18" t="n"/>
      <c r="L88" s="18" t="n"/>
      <c r="M88" s="18" t="n"/>
      <c r="N88" s="18" t="n"/>
      <c r="O88" s="18" t="n"/>
      <c r="P88" s="18" t="n"/>
      <c r="Q88" s="18" t="n"/>
    </row>
    <row r="89">
      <c r="A89" s="17" t="n"/>
      <c r="B89" s="18" t="n"/>
      <c r="C89" s="18" t="n"/>
      <c r="D89" s="18" t="n"/>
      <c r="E89" s="18" t="n"/>
      <c r="F89" s="18" t="n"/>
      <c r="G89" s="19" t="n"/>
      <c r="H89" s="20" t="n"/>
      <c r="I89" s="21" t="n"/>
      <c r="J89" s="18" t="n"/>
      <c r="K89" s="18" t="n"/>
      <c r="L89" s="18" t="n"/>
      <c r="M89" s="18" t="n"/>
      <c r="N89" s="18" t="n"/>
      <c r="O89" s="18" t="n"/>
      <c r="P89" s="18" t="n"/>
      <c r="Q89" s="18" t="n"/>
    </row>
    <row r="90">
      <c r="A90" s="17" t="n"/>
      <c r="B90" s="18" t="n"/>
      <c r="C90" s="18" t="n"/>
      <c r="D90" s="18" t="n"/>
      <c r="E90" s="18" t="n"/>
      <c r="F90" s="18" t="n"/>
      <c r="G90" s="19" t="n"/>
      <c r="H90" s="20" t="n"/>
      <c r="I90" s="21" t="n"/>
      <c r="J90" s="18" t="n"/>
      <c r="K90" s="18" t="n"/>
      <c r="L90" s="18" t="n"/>
      <c r="M90" s="18" t="n"/>
      <c r="N90" s="18" t="n"/>
      <c r="O90" s="18" t="n"/>
      <c r="P90" s="18" t="n"/>
      <c r="Q90" s="18" t="n"/>
    </row>
    <row r="91">
      <c r="A91" s="17" t="n"/>
      <c r="B91" s="18" t="n"/>
      <c r="C91" s="18" t="n"/>
      <c r="D91" s="18" t="n"/>
      <c r="E91" s="18" t="n"/>
      <c r="F91" s="18" t="n"/>
      <c r="G91" s="19" t="n"/>
      <c r="H91" s="20" t="n"/>
      <c r="I91" s="21" t="n"/>
      <c r="J91" s="18" t="n"/>
      <c r="K91" s="18" t="n"/>
      <c r="L91" s="18" t="n"/>
      <c r="M91" s="18" t="n"/>
      <c r="N91" s="18" t="n"/>
      <c r="O91" s="18" t="n"/>
      <c r="P91" s="18" t="n"/>
      <c r="Q91" s="18" t="n"/>
    </row>
    <row r="92">
      <c r="A92" s="17" t="n"/>
      <c r="B92" s="18" t="n"/>
      <c r="C92" s="18" t="n"/>
      <c r="D92" s="18" t="n"/>
      <c r="E92" s="18" t="n"/>
      <c r="F92" s="18" t="n"/>
      <c r="G92" s="19" t="n"/>
      <c r="H92" s="20" t="n"/>
      <c r="I92" s="21" t="n"/>
      <c r="J92" s="18" t="n"/>
      <c r="K92" s="18" t="n"/>
      <c r="L92" s="18" t="n"/>
      <c r="M92" s="18" t="n"/>
      <c r="N92" s="18" t="n"/>
      <c r="O92" s="18" t="n"/>
      <c r="P92" s="18" t="n"/>
      <c r="Q92" s="18" t="n"/>
    </row>
    <row r="93">
      <c r="A93" s="17" t="n"/>
      <c r="B93" s="18" t="n"/>
      <c r="C93" s="18" t="n"/>
      <c r="D93" s="18" t="n"/>
      <c r="E93" s="18" t="n"/>
      <c r="F93" s="18" t="n"/>
      <c r="G93" s="19" t="n"/>
      <c r="H93" s="20" t="n"/>
      <c r="I93" s="21" t="n"/>
      <c r="J93" s="18" t="n"/>
      <c r="K93" s="18" t="n"/>
      <c r="L93" s="18" t="n"/>
      <c r="M93" s="18" t="n"/>
      <c r="N93" s="18" t="n"/>
      <c r="O93" s="18" t="n"/>
      <c r="P93" s="18" t="n"/>
      <c r="Q93" s="18" t="n"/>
    </row>
    <row r="94">
      <c r="A94" s="17" t="n"/>
      <c r="B94" s="18" t="n"/>
      <c r="C94" s="18" t="n"/>
      <c r="D94" s="18" t="n"/>
      <c r="E94" s="18" t="n"/>
      <c r="F94" s="18" t="n"/>
      <c r="G94" s="19" t="n"/>
      <c r="H94" s="20" t="n"/>
      <c r="I94" s="21" t="n"/>
      <c r="J94" s="18" t="n"/>
      <c r="K94" s="18" t="n"/>
      <c r="L94" s="18" t="n"/>
      <c r="M94" s="18" t="n"/>
      <c r="N94" s="18" t="n"/>
      <c r="O94" s="18" t="n"/>
      <c r="P94" s="18" t="n"/>
      <c r="Q94" s="18" t="n"/>
    </row>
    <row r="95">
      <c r="A95" s="17" t="n"/>
      <c r="B95" s="18" t="n"/>
      <c r="C95" s="18" t="n"/>
      <c r="D95" s="18" t="n"/>
      <c r="E95" s="18" t="n"/>
      <c r="F95" s="18" t="n"/>
      <c r="G95" s="19" t="n"/>
      <c r="H95" s="20" t="n"/>
      <c r="I95" s="21" t="n"/>
      <c r="J95" s="18" t="n"/>
      <c r="K95" s="18" t="n"/>
      <c r="L95" s="18" t="n"/>
      <c r="M95" s="18" t="n"/>
      <c r="N95" s="18" t="n"/>
      <c r="O95" s="18" t="n"/>
      <c r="P95" s="18" t="n"/>
      <c r="Q95" s="18" t="n"/>
    </row>
    <row r="96">
      <c r="A96" s="17" t="n"/>
      <c r="B96" s="18" t="n"/>
      <c r="C96" s="18" t="n"/>
      <c r="D96" s="18" t="n"/>
      <c r="E96" s="18" t="n"/>
      <c r="F96" s="18" t="n"/>
      <c r="G96" s="19" t="n"/>
      <c r="H96" s="20" t="n"/>
      <c r="I96" s="21" t="n"/>
      <c r="J96" s="18" t="n"/>
      <c r="K96" s="18" t="n"/>
      <c r="L96" s="18" t="n"/>
      <c r="M96" s="18" t="n"/>
      <c r="N96" s="18" t="n"/>
      <c r="O96" s="18" t="n"/>
      <c r="P96" s="18" t="n"/>
      <c r="Q96" s="18" t="n"/>
    </row>
    <row r="97">
      <c r="A97" s="17" t="n"/>
      <c r="B97" s="18" t="n"/>
      <c r="C97" s="18" t="n"/>
      <c r="D97" s="18" t="n"/>
      <c r="E97" s="18" t="n"/>
      <c r="F97" s="18" t="n"/>
      <c r="G97" s="19" t="n"/>
      <c r="H97" s="20" t="n"/>
      <c r="I97" s="21" t="n"/>
      <c r="J97" s="18" t="n"/>
      <c r="K97" s="18" t="n"/>
      <c r="L97" s="18" t="n"/>
      <c r="M97" s="18" t="n"/>
      <c r="N97" s="18" t="n"/>
      <c r="O97" s="18" t="n"/>
      <c r="P97" s="18" t="n"/>
      <c r="Q97" s="18" t="n"/>
    </row>
    <row r="98">
      <c r="A98" s="17" t="n"/>
      <c r="B98" s="18" t="n"/>
      <c r="C98" s="18" t="n"/>
      <c r="D98" s="18" t="n"/>
      <c r="E98" s="18" t="n"/>
      <c r="F98" s="18" t="n"/>
      <c r="G98" s="19" t="n"/>
      <c r="H98" s="20" t="n"/>
      <c r="I98" s="21" t="n"/>
      <c r="J98" s="18" t="n"/>
      <c r="K98" s="18" t="n"/>
      <c r="L98" s="18" t="n"/>
      <c r="M98" s="18" t="n"/>
      <c r="N98" s="18" t="n"/>
      <c r="O98" s="18" t="n"/>
      <c r="P98" s="18" t="n"/>
      <c r="Q98" s="18" t="n"/>
    </row>
    <row r="99">
      <c r="A99" s="17" t="n"/>
      <c r="B99" s="18" t="n"/>
      <c r="C99" s="18" t="n"/>
      <c r="D99" s="18" t="n"/>
      <c r="E99" s="18" t="n"/>
      <c r="F99" s="18" t="n"/>
      <c r="G99" s="19" t="n"/>
      <c r="H99" s="20" t="n"/>
      <c r="I99" s="21" t="n"/>
      <c r="J99" s="18" t="n"/>
      <c r="K99" s="18" t="n"/>
      <c r="L99" s="18" t="n"/>
      <c r="M99" s="18" t="n"/>
      <c r="N99" s="18" t="n"/>
      <c r="O99" s="18" t="n"/>
      <c r="P99" s="18" t="n"/>
      <c r="Q99" s="18" t="n"/>
    </row>
    <row r="100">
      <c r="A100" s="17" t="n"/>
      <c r="B100" s="18" t="n"/>
      <c r="C100" s="18" t="n"/>
      <c r="D100" s="18" t="n"/>
      <c r="E100" s="18" t="n"/>
      <c r="F100" s="18" t="n"/>
      <c r="G100" s="19" t="n"/>
      <c r="H100" s="20" t="n"/>
      <c r="I100" s="21" t="n"/>
      <c r="J100" s="18" t="n"/>
      <c r="K100" s="18" t="n"/>
      <c r="L100" s="18" t="n"/>
      <c r="M100" s="18" t="n"/>
      <c r="N100" s="18" t="n"/>
      <c r="O100" s="18" t="n"/>
      <c r="P100" s="18" t="n"/>
      <c r="Q100" s="18" t="n"/>
    </row>
    <row r="101">
      <c r="A101" s="17" t="n"/>
      <c r="B101" s="18" t="n"/>
      <c r="C101" s="18" t="n"/>
      <c r="D101" s="18" t="n"/>
      <c r="E101" s="18" t="n"/>
      <c r="F101" s="18" t="n"/>
      <c r="G101" s="19" t="n"/>
      <c r="H101" s="20" t="n"/>
      <c r="I101" s="21" t="n"/>
      <c r="J101" s="18" t="n"/>
      <c r="K101" s="18" t="n"/>
      <c r="L101" s="18" t="n"/>
      <c r="M101" s="18" t="n"/>
      <c r="N101" s="18" t="n"/>
      <c r="O101" s="18" t="n"/>
      <c r="P101" s="18" t="n"/>
      <c r="Q101" s="18" t="n"/>
    </row>
    <row r="102">
      <c r="A102" s="17" t="n"/>
      <c r="B102" s="18" t="n"/>
      <c r="C102" s="18" t="n"/>
      <c r="D102" s="18" t="n"/>
      <c r="E102" s="18" t="n"/>
      <c r="F102" s="18" t="n"/>
      <c r="G102" s="19" t="n"/>
      <c r="H102" s="20" t="n"/>
      <c r="I102" s="21" t="n"/>
      <c r="J102" s="18" t="n"/>
      <c r="K102" s="18" t="n"/>
      <c r="L102" s="18" t="n"/>
      <c r="M102" s="18" t="n"/>
      <c r="N102" s="18" t="n"/>
      <c r="O102" s="18" t="n"/>
      <c r="P102" s="18" t="n"/>
      <c r="Q102" s="18" t="n"/>
    </row>
    <row r="103">
      <c r="A103" s="17" t="n"/>
      <c r="B103" s="18" t="n"/>
      <c r="C103" s="18" t="n"/>
      <c r="D103" s="18" t="n"/>
      <c r="E103" s="18" t="n"/>
      <c r="F103" s="18" t="n"/>
      <c r="G103" s="19" t="n"/>
      <c r="H103" s="20" t="n"/>
      <c r="I103" s="21" t="n"/>
      <c r="J103" s="18" t="n"/>
      <c r="K103" s="18" t="n"/>
      <c r="L103" s="18" t="n"/>
      <c r="M103" s="18" t="n"/>
      <c r="N103" s="18" t="n"/>
      <c r="O103" s="18" t="n"/>
      <c r="P103" s="18" t="n"/>
      <c r="Q103" s="18" t="n"/>
    </row>
  </sheetData>
  <autoFilter ref="A3:Q103"/>
  <mergeCells count="1">
    <mergeCell ref="J2:Q2"/>
  </mergeCells>
  <dataValidations count="1">
    <dataValidation sqref="A4:A103" showDropDown="0" showInputMessage="0" showErrorMessage="1" allowBlank="1" errorTitle="날짜 형식 오류" error="측정일은 날짜 형식으로 입력해 주세요. (예: 2026-01-05)" type="date" operator="greaterThan">
      <formula1>DATE(1900,1,1)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9" t="inlineStr">
        <is>
          <t>항목별 요약</t>
        </is>
      </c>
    </row>
    <row r="2">
      <c r="A2" s="8" t="inlineStr">
        <is>
          <t>'인바디기록' 시트에 값을 넣으면 자동으로 계산됩니다. (변화량 = 최근값 - 최초값)</t>
        </is>
      </c>
    </row>
    <row r="3" ht="24" customHeight="1">
      <c r="A3" s="4" t="inlineStr">
        <is>
          <t>항목</t>
        </is>
      </c>
      <c r="B3" s="4" t="inlineStr">
        <is>
          <t>단위</t>
        </is>
      </c>
      <c r="C3" s="4" t="inlineStr">
        <is>
          <t>최초 기록</t>
        </is>
      </c>
      <c r="D3" s="4" t="inlineStr">
        <is>
          <t>최근 기록</t>
        </is>
      </c>
      <c r="E3" s="4" t="inlineStr">
        <is>
          <t>변화량</t>
        </is>
      </c>
      <c r="F3" s="4" t="inlineStr">
        <is>
          <t>최소</t>
        </is>
      </c>
      <c r="G3" s="4" t="inlineStr">
        <is>
          <t>최대</t>
        </is>
      </c>
      <c r="H3" s="4" t="inlineStr">
        <is>
          <t>평균</t>
        </is>
      </c>
      <c r="I3" s="4" t="inlineStr">
        <is>
          <t>기록 횟수</t>
        </is>
      </c>
    </row>
    <row r="4">
      <c r="A4" s="5" t="inlineStr">
        <is>
          <t>체중</t>
        </is>
      </c>
      <c r="B4" s="6" t="inlineStr">
        <is>
          <t>kg</t>
        </is>
      </c>
      <c r="C4" s="22">
        <f>IFERROR(INDEX('인바디기록'!$B$4:$B$103,MATCH(MIN('인바디기록'!$A$4:$A$103),'인바디기록'!$A$4:$A$103,0)),"")</f>
        <v/>
      </c>
      <c r="D4" s="22">
        <f>IFERROR(INDEX('인바디기록'!$B$4:$B$103,MATCH(MAX('인바디기록'!$A$4:$A$103),'인바디기록'!$A$4:$A$103,0)),"")</f>
        <v/>
      </c>
      <c r="E4" s="22">
        <f>IF(OR(C4="",D4=""),"",D4-C4)</f>
        <v/>
      </c>
      <c r="F4" s="22">
        <f>IF(COUNT('인바디기록'!$B$4:$B$103)=0,"",MIN('인바디기록'!$B$4:$B$103))</f>
        <v/>
      </c>
      <c r="G4" s="22">
        <f>IF(COUNT('인바디기록'!$B$4:$B$103)=0,"",MAX('인바디기록'!$B$4:$B$103))</f>
        <v/>
      </c>
      <c r="H4" s="22">
        <f>IF(COUNT('인바디기록'!$B$4:$B$103)=0,"",AVERAGE('인바디기록'!$B$4:$B$103))</f>
        <v/>
      </c>
      <c r="I4" s="23">
        <f>COUNT('인바디기록'!$B$4:$B$103)</f>
        <v/>
      </c>
    </row>
    <row r="5">
      <c r="A5" s="5" t="inlineStr">
        <is>
          <t>골격근량</t>
        </is>
      </c>
      <c r="B5" s="6" t="inlineStr">
        <is>
          <t>kg</t>
        </is>
      </c>
      <c r="C5" s="22">
        <f>IFERROR(INDEX('인바디기록'!$C$4:$C$103,MATCH(MIN('인바디기록'!$A$4:$A$103),'인바디기록'!$A$4:$A$103,0)),"")</f>
        <v/>
      </c>
      <c r="D5" s="22">
        <f>IFERROR(INDEX('인바디기록'!$C$4:$C$103,MATCH(MAX('인바디기록'!$A$4:$A$103),'인바디기록'!$A$4:$A$103,0)),"")</f>
        <v/>
      </c>
      <c r="E5" s="22">
        <f>IF(OR(C5="",D5=""),"",D5-C5)</f>
        <v/>
      </c>
      <c r="F5" s="22">
        <f>IF(COUNT('인바디기록'!$C$4:$C$103)=0,"",MIN('인바디기록'!$C$4:$C$103))</f>
        <v/>
      </c>
      <c r="G5" s="22">
        <f>IF(COUNT('인바디기록'!$C$4:$C$103)=0,"",MAX('인바디기록'!$C$4:$C$103))</f>
        <v/>
      </c>
      <c r="H5" s="22">
        <f>IF(COUNT('인바디기록'!$C$4:$C$103)=0,"",AVERAGE('인바디기록'!$C$4:$C$103))</f>
        <v/>
      </c>
      <c r="I5" s="23">
        <f>COUNT('인바디기록'!$C$4:$C$103)</f>
        <v/>
      </c>
    </row>
    <row r="6">
      <c r="A6" s="5" t="inlineStr">
        <is>
          <t>체지방량</t>
        </is>
      </c>
      <c r="B6" s="6" t="inlineStr">
        <is>
          <t>kg</t>
        </is>
      </c>
      <c r="C6" s="22">
        <f>IFERROR(INDEX('인바디기록'!$D$4:$D$103,MATCH(MIN('인바디기록'!$A$4:$A$103),'인바디기록'!$A$4:$A$103,0)),"")</f>
        <v/>
      </c>
      <c r="D6" s="22">
        <f>IFERROR(INDEX('인바디기록'!$D$4:$D$103,MATCH(MAX('인바디기록'!$A$4:$A$103),'인바디기록'!$A$4:$A$103,0)),"")</f>
        <v/>
      </c>
      <c r="E6" s="22">
        <f>IF(OR(C6="",D6=""),"",D6-C6)</f>
        <v/>
      </c>
      <c r="F6" s="22">
        <f>IF(COUNT('인바디기록'!$D$4:$D$103)=0,"",MIN('인바디기록'!$D$4:$D$103))</f>
        <v/>
      </c>
      <c r="G6" s="22">
        <f>IF(COUNT('인바디기록'!$D$4:$D$103)=0,"",MAX('인바디기록'!$D$4:$D$103))</f>
        <v/>
      </c>
      <c r="H6" s="22">
        <f>IF(COUNT('인바디기록'!$D$4:$D$103)=0,"",AVERAGE('인바디기록'!$D$4:$D$103))</f>
        <v/>
      </c>
      <c r="I6" s="23">
        <f>COUNT('인바디기록'!$D$4:$D$103)</f>
        <v/>
      </c>
    </row>
    <row r="7">
      <c r="A7" s="5" t="inlineStr">
        <is>
          <t>체지방률</t>
        </is>
      </c>
      <c r="B7" s="6" t="inlineStr">
        <is>
          <t>%</t>
        </is>
      </c>
      <c r="C7" s="22">
        <f>IFERROR(INDEX('인바디기록'!$E$4:$E$103,MATCH(MIN('인바디기록'!$A$4:$A$103),'인바디기록'!$A$4:$A$103,0)),"")</f>
        <v/>
      </c>
      <c r="D7" s="22">
        <f>IFERROR(INDEX('인바디기록'!$E$4:$E$103,MATCH(MAX('인바디기록'!$A$4:$A$103),'인바디기록'!$A$4:$A$103,0)),"")</f>
        <v/>
      </c>
      <c r="E7" s="22">
        <f>IF(OR(C7="",D7=""),"",D7-C7)</f>
        <v/>
      </c>
      <c r="F7" s="22">
        <f>IF(COUNT('인바디기록'!$E$4:$E$103)=0,"",MIN('인바디기록'!$E$4:$E$103))</f>
        <v/>
      </c>
      <c r="G7" s="22">
        <f>IF(COUNT('인바디기록'!$E$4:$E$103)=0,"",MAX('인바디기록'!$E$4:$E$103))</f>
        <v/>
      </c>
      <c r="H7" s="22">
        <f>IF(COUNT('인바디기록'!$E$4:$E$103)=0,"",AVERAGE('인바디기록'!$E$4:$E$103))</f>
        <v/>
      </c>
      <c r="I7" s="23">
        <f>COUNT('인바디기록'!$E$4:$E$103)</f>
        <v/>
      </c>
    </row>
    <row r="8">
      <c r="A8" s="5" t="inlineStr">
        <is>
          <t>내장지방</t>
        </is>
      </c>
      <c r="B8" s="6" t="inlineStr">
        <is>
          <t>레벨</t>
        </is>
      </c>
      <c r="C8" s="22">
        <f>IFERROR(INDEX('인바디기록'!$F$4:$F$103,MATCH(MIN('인바디기록'!$A$4:$A$103),'인바디기록'!$A$4:$A$103,0)),"")</f>
        <v/>
      </c>
      <c r="D8" s="22">
        <f>IFERROR(INDEX('인바디기록'!$F$4:$F$103,MATCH(MAX('인바디기록'!$A$4:$A$103),'인바디기록'!$A$4:$A$103,0)),"")</f>
        <v/>
      </c>
      <c r="E8" s="22">
        <f>IF(OR(C8="",D8=""),"",D8-C8)</f>
        <v/>
      </c>
      <c r="F8" s="22">
        <f>IF(COUNT('인바디기록'!$F$4:$F$103)=0,"",MIN('인바디기록'!$F$4:$F$103))</f>
        <v/>
      </c>
      <c r="G8" s="22">
        <f>IF(COUNT('인바디기록'!$F$4:$F$103)=0,"",MAX('인바디기록'!$F$4:$F$103))</f>
        <v/>
      </c>
      <c r="H8" s="22">
        <f>IF(COUNT('인바디기록'!$F$4:$F$103)=0,"",AVERAGE('인바디기록'!$F$4:$F$103))</f>
        <v/>
      </c>
      <c r="I8" s="23">
        <f>COUNT('인바디기록'!$F$4:$F$103)</f>
        <v/>
      </c>
    </row>
    <row r="9">
      <c r="A9" s="5" t="inlineStr">
        <is>
          <t>복부지방률</t>
        </is>
      </c>
      <c r="B9" s="6" t="inlineStr">
        <is>
          <t>WHR</t>
        </is>
      </c>
      <c r="C9" s="24">
        <f>IFERROR(INDEX('인바디기록'!$G$4:$G$103,MATCH(MIN('인바디기록'!$A$4:$A$103),'인바디기록'!$A$4:$A$103,0)),"")</f>
        <v/>
      </c>
      <c r="D9" s="24">
        <f>IFERROR(INDEX('인바디기록'!$G$4:$G$103,MATCH(MAX('인바디기록'!$A$4:$A$103),'인바디기록'!$A$4:$A$103,0)),"")</f>
        <v/>
      </c>
      <c r="E9" s="24">
        <f>IF(OR(C9="",D9=""),"",D9-C9)</f>
        <v/>
      </c>
      <c r="F9" s="24">
        <f>IF(COUNT('인바디기록'!$G$4:$G$103)=0,"",MIN('인바디기록'!$G$4:$G$103))</f>
        <v/>
      </c>
      <c r="G9" s="24">
        <f>IF(COUNT('인바디기록'!$G$4:$G$103)=0,"",MAX('인바디기록'!$G$4:$G$103))</f>
        <v/>
      </c>
      <c r="H9" s="24">
        <f>IF(COUNT('인바디기록'!$G$4:$G$103)=0,"",AVERAGE('인바디기록'!$G$4:$G$103))</f>
        <v/>
      </c>
      <c r="I9" s="23">
        <f>COUNT('인바디기록'!$G$4:$G$103)</f>
        <v/>
      </c>
    </row>
    <row r="10">
      <c r="A10" s="5" t="inlineStr">
        <is>
          <t>신체발달점수</t>
        </is>
      </c>
      <c r="B10" s="6" t="inlineStr">
        <is>
          <t>점</t>
        </is>
      </c>
      <c r="C10" s="23">
        <f>IFERROR(INDEX('인바디기록'!$H$4:$H$103,MATCH(MIN('인바디기록'!$A$4:$A$103),'인바디기록'!$A$4:$A$103,0)),"")</f>
        <v/>
      </c>
      <c r="D10" s="23">
        <f>IFERROR(INDEX('인바디기록'!$H$4:$H$103,MATCH(MAX('인바디기록'!$A$4:$A$103),'인바디기록'!$A$4:$A$103,0)),"")</f>
        <v/>
      </c>
      <c r="E10" s="23">
        <f>IF(OR(C10="",D10=""),"",D10-C10)</f>
        <v/>
      </c>
      <c r="F10" s="23">
        <f>IF(COUNT('인바디기록'!$H$4:$H$103)=0,"",MIN('인바디기록'!$H$4:$H$103))</f>
        <v/>
      </c>
      <c r="G10" s="23">
        <f>IF(COUNT('인바디기록'!$H$4:$H$103)=0,"",MAX('인바디기록'!$H$4:$H$103))</f>
        <v/>
      </c>
      <c r="H10" s="23">
        <f>IF(COUNT('인바디기록'!$H$4:$H$103)=0,"",AVERAGE('인바디기록'!$H$4:$H$103))</f>
        <v/>
      </c>
      <c r="I10" s="23">
        <f>COUNT('인바디기록'!$H$4:$H$103)</f>
        <v/>
      </c>
    </row>
    <row r="11">
      <c r="A11" s="5" t="inlineStr">
        <is>
          <t>기초대사량</t>
        </is>
      </c>
      <c r="B11" s="6" t="inlineStr">
        <is>
          <t>kcal</t>
        </is>
      </c>
      <c r="C11" s="25">
        <f>IFERROR(INDEX('인바디기록'!$I$4:$I$103,MATCH(MIN('인바디기록'!$A$4:$A$103),'인바디기록'!$A$4:$A$103,0)),"")</f>
        <v/>
      </c>
      <c r="D11" s="25">
        <f>IFERROR(INDEX('인바디기록'!$I$4:$I$103,MATCH(MAX('인바디기록'!$A$4:$A$103),'인바디기록'!$A$4:$A$103,0)),"")</f>
        <v/>
      </c>
      <c r="E11" s="25">
        <f>IF(OR(C11="",D11=""),"",D11-C11)</f>
        <v/>
      </c>
      <c r="F11" s="25">
        <f>IF(COUNT('인바디기록'!$I$4:$I$103)=0,"",MIN('인바디기록'!$I$4:$I$103))</f>
        <v/>
      </c>
      <c r="G11" s="25">
        <f>IF(COUNT('인바디기록'!$I$4:$I$103)=0,"",MAX('인바디기록'!$I$4:$I$103))</f>
        <v/>
      </c>
      <c r="H11" s="25">
        <f>IF(COUNT('인바디기록'!$I$4:$I$103)=0,"",AVERAGE('인바디기록'!$I$4:$I$103))</f>
        <v/>
      </c>
      <c r="I11" s="23">
        <f>COUNT('인바디기록'!$I$4:$I$103)</f>
        <v/>
      </c>
    </row>
    <row r="12">
      <c r="A12" s="5" t="inlineStr">
        <is>
          <t>가슴 (겉둘레)</t>
        </is>
      </c>
      <c r="B12" s="6" t="inlineStr">
        <is>
          <t>cm</t>
        </is>
      </c>
      <c r="C12" s="22">
        <f>IFERROR(INDEX('인바디기록'!$J$4:$J$103,MATCH(MIN('인바디기록'!$A$4:$A$103),'인바디기록'!$A$4:$A$103,0)),"")</f>
        <v/>
      </c>
      <c r="D12" s="22">
        <f>IFERROR(INDEX('인바디기록'!$J$4:$J$103,MATCH(MAX('인바디기록'!$A$4:$A$103),'인바디기록'!$A$4:$A$103,0)),"")</f>
        <v/>
      </c>
      <c r="E12" s="22">
        <f>IF(OR(C12="",D12=""),"",D12-C12)</f>
        <v/>
      </c>
      <c r="F12" s="22">
        <f>IF(COUNT('인바디기록'!$J$4:$J$103)=0,"",MIN('인바디기록'!$J$4:$J$103))</f>
        <v/>
      </c>
      <c r="G12" s="22">
        <f>IF(COUNT('인바디기록'!$J$4:$J$103)=0,"",MAX('인바디기록'!$J$4:$J$103))</f>
        <v/>
      </c>
      <c r="H12" s="22">
        <f>IF(COUNT('인바디기록'!$J$4:$J$103)=0,"",AVERAGE('인바디기록'!$J$4:$J$103))</f>
        <v/>
      </c>
      <c r="I12" s="23">
        <f>COUNT('인바디기록'!$J$4:$J$103)</f>
        <v/>
      </c>
    </row>
    <row r="13">
      <c r="A13" s="5" t="inlineStr">
        <is>
          <t>복부</t>
        </is>
      </c>
      <c r="B13" s="6" t="inlineStr">
        <is>
          <t>cm</t>
        </is>
      </c>
      <c r="C13" s="22">
        <f>IFERROR(INDEX('인바디기록'!$K$4:$K$103,MATCH(MIN('인바디기록'!$A$4:$A$103),'인바디기록'!$A$4:$A$103,0)),"")</f>
        <v/>
      </c>
      <c r="D13" s="22">
        <f>IFERROR(INDEX('인바디기록'!$K$4:$K$103,MATCH(MAX('인바디기록'!$A$4:$A$103),'인바디기록'!$A$4:$A$103,0)),"")</f>
        <v/>
      </c>
      <c r="E13" s="22">
        <f>IF(OR(C13="",D13=""),"",D13-C13)</f>
        <v/>
      </c>
      <c r="F13" s="22">
        <f>IF(COUNT('인바디기록'!$K$4:$K$103)=0,"",MIN('인바디기록'!$K$4:$K$103))</f>
        <v/>
      </c>
      <c r="G13" s="22">
        <f>IF(COUNT('인바디기록'!$K$4:$K$103)=0,"",MAX('인바디기록'!$K$4:$K$103))</f>
        <v/>
      </c>
      <c r="H13" s="22">
        <f>IF(COUNT('인바디기록'!$K$4:$K$103)=0,"",AVERAGE('인바디기록'!$K$4:$K$103))</f>
        <v/>
      </c>
      <c r="I13" s="23">
        <f>COUNT('인바디기록'!$K$4:$K$103)</f>
        <v/>
      </c>
    </row>
    <row r="14">
      <c r="A14" s="5" t="inlineStr">
        <is>
          <t>오른팔</t>
        </is>
      </c>
      <c r="B14" s="6" t="inlineStr">
        <is>
          <t>cm</t>
        </is>
      </c>
      <c r="C14" s="22">
        <f>IFERROR(INDEX('인바디기록'!$L$4:$L$103,MATCH(MIN('인바디기록'!$A$4:$A$103),'인바디기록'!$A$4:$A$103,0)),"")</f>
        <v/>
      </c>
      <c r="D14" s="22">
        <f>IFERROR(INDEX('인바디기록'!$L$4:$L$103,MATCH(MAX('인바디기록'!$A$4:$A$103),'인바디기록'!$A$4:$A$103,0)),"")</f>
        <v/>
      </c>
      <c r="E14" s="22">
        <f>IF(OR(C14="",D14=""),"",D14-C14)</f>
        <v/>
      </c>
      <c r="F14" s="22">
        <f>IF(COUNT('인바디기록'!$L$4:$L$103)=0,"",MIN('인바디기록'!$L$4:$L$103))</f>
        <v/>
      </c>
      <c r="G14" s="22">
        <f>IF(COUNT('인바디기록'!$L$4:$L$103)=0,"",MAX('인바디기록'!$L$4:$L$103))</f>
        <v/>
      </c>
      <c r="H14" s="22">
        <f>IF(COUNT('인바디기록'!$L$4:$L$103)=0,"",AVERAGE('인바디기록'!$L$4:$L$103))</f>
        <v/>
      </c>
      <c r="I14" s="23">
        <f>COUNT('인바디기록'!$L$4:$L$103)</f>
        <v/>
      </c>
    </row>
    <row r="15">
      <c r="A15" s="5" t="inlineStr">
        <is>
          <t>왼팔</t>
        </is>
      </c>
      <c r="B15" s="6" t="inlineStr">
        <is>
          <t>cm</t>
        </is>
      </c>
      <c r="C15" s="22">
        <f>IFERROR(INDEX('인바디기록'!$M$4:$M$103,MATCH(MIN('인바디기록'!$A$4:$A$103),'인바디기록'!$A$4:$A$103,0)),"")</f>
        <v/>
      </c>
      <c r="D15" s="22">
        <f>IFERROR(INDEX('인바디기록'!$M$4:$M$103,MATCH(MAX('인바디기록'!$A$4:$A$103),'인바디기록'!$A$4:$A$103,0)),"")</f>
        <v/>
      </c>
      <c r="E15" s="22">
        <f>IF(OR(C15="",D15=""),"",D15-C15)</f>
        <v/>
      </c>
      <c r="F15" s="22">
        <f>IF(COUNT('인바디기록'!$M$4:$M$103)=0,"",MIN('인바디기록'!$M$4:$M$103))</f>
        <v/>
      </c>
      <c r="G15" s="22">
        <f>IF(COUNT('인바디기록'!$M$4:$M$103)=0,"",MAX('인바디기록'!$M$4:$M$103))</f>
        <v/>
      </c>
      <c r="H15" s="22">
        <f>IF(COUNT('인바디기록'!$M$4:$M$103)=0,"",AVERAGE('인바디기록'!$M$4:$M$103))</f>
        <v/>
      </c>
      <c r="I15" s="23">
        <f>COUNT('인바디기록'!$M$4:$M$103)</f>
        <v/>
      </c>
    </row>
    <row r="16">
      <c r="A16" s="5" t="inlineStr">
        <is>
          <t>오른허벅지</t>
        </is>
      </c>
      <c r="B16" s="6" t="inlineStr">
        <is>
          <t>cm</t>
        </is>
      </c>
      <c r="C16" s="22">
        <f>IFERROR(INDEX('인바디기록'!$N$4:$N$103,MATCH(MIN('인바디기록'!$A$4:$A$103),'인바디기록'!$A$4:$A$103,0)),"")</f>
        <v/>
      </c>
      <c r="D16" s="22">
        <f>IFERROR(INDEX('인바디기록'!$N$4:$N$103,MATCH(MAX('인바디기록'!$A$4:$A$103),'인바디기록'!$A$4:$A$103,0)),"")</f>
        <v/>
      </c>
      <c r="E16" s="22">
        <f>IF(OR(C16="",D16=""),"",D16-C16)</f>
        <v/>
      </c>
      <c r="F16" s="22">
        <f>IF(COUNT('인바디기록'!$N$4:$N$103)=0,"",MIN('인바디기록'!$N$4:$N$103))</f>
        <v/>
      </c>
      <c r="G16" s="22">
        <f>IF(COUNT('인바디기록'!$N$4:$N$103)=0,"",MAX('인바디기록'!$N$4:$N$103))</f>
        <v/>
      </c>
      <c r="H16" s="22">
        <f>IF(COUNT('인바디기록'!$N$4:$N$103)=0,"",AVERAGE('인바디기록'!$N$4:$N$103))</f>
        <v/>
      </c>
      <c r="I16" s="23">
        <f>COUNT('인바디기록'!$N$4:$N$103)</f>
        <v/>
      </c>
    </row>
    <row r="17">
      <c r="A17" s="5" t="inlineStr">
        <is>
          <t>왼허벅지</t>
        </is>
      </c>
      <c r="B17" s="6" t="inlineStr">
        <is>
          <t>cm</t>
        </is>
      </c>
      <c r="C17" s="22">
        <f>IFERROR(INDEX('인바디기록'!$O$4:$O$103,MATCH(MIN('인바디기록'!$A$4:$A$103),'인바디기록'!$A$4:$A$103,0)),"")</f>
        <v/>
      </c>
      <c r="D17" s="22">
        <f>IFERROR(INDEX('인바디기록'!$O$4:$O$103,MATCH(MAX('인바디기록'!$A$4:$A$103),'인바디기록'!$A$4:$A$103,0)),"")</f>
        <v/>
      </c>
      <c r="E17" s="22">
        <f>IF(OR(C17="",D17=""),"",D17-C17)</f>
        <v/>
      </c>
      <c r="F17" s="22">
        <f>IF(COUNT('인바디기록'!$O$4:$O$103)=0,"",MIN('인바디기록'!$O$4:$O$103))</f>
        <v/>
      </c>
      <c r="G17" s="22">
        <f>IF(COUNT('인바디기록'!$O$4:$O$103)=0,"",MAX('인바디기록'!$O$4:$O$103))</f>
        <v/>
      </c>
      <c r="H17" s="22">
        <f>IF(COUNT('인바디기록'!$O$4:$O$103)=0,"",AVERAGE('인바디기록'!$O$4:$O$103))</f>
        <v/>
      </c>
      <c r="I17" s="23">
        <f>COUNT('인바디기록'!$O$4:$O$103)</f>
        <v/>
      </c>
    </row>
    <row r="18">
      <c r="A18" s="5" t="inlineStr">
        <is>
          <t>목</t>
        </is>
      </c>
      <c r="B18" s="6" t="inlineStr">
        <is>
          <t>cm</t>
        </is>
      </c>
      <c r="C18" s="22">
        <f>IFERROR(INDEX('인바디기록'!$P$4:$P$103,MATCH(MIN('인바디기록'!$A$4:$A$103),'인바디기록'!$A$4:$A$103,0)),"")</f>
        <v/>
      </c>
      <c r="D18" s="22">
        <f>IFERROR(INDEX('인바디기록'!$P$4:$P$103,MATCH(MAX('인바디기록'!$A$4:$A$103),'인바디기록'!$A$4:$A$103,0)),"")</f>
        <v/>
      </c>
      <c r="E18" s="22">
        <f>IF(OR(C18="",D18=""),"",D18-C18)</f>
        <v/>
      </c>
      <c r="F18" s="22">
        <f>IF(COUNT('인바디기록'!$P$4:$P$103)=0,"",MIN('인바디기록'!$P$4:$P$103))</f>
        <v/>
      </c>
      <c r="G18" s="22">
        <f>IF(COUNT('인바디기록'!$P$4:$P$103)=0,"",MAX('인바디기록'!$P$4:$P$103))</f>
        <v/>
      </c>
      <c r="H18" s="22">
        <f>IF(COUNT('인바디기록'!$P$4:$P$103)=0,"",AVERAGE('인바디기록'!$P$4:$P$103))</f>
        <v/>
      </c>
      <c r="I18" s="23">
        <f>COUNT('인바디기록'!$P$4:$P$103)</f>
        <v/>
      </c>
    </row>
    <row r="19">
      <c r="A19" s="5" t="inlineStr">
        <is>
          <t>엉덩이</t>
        </is>
      </c>
      <c r="B19" s="6" t="inlineStr">
        <is>
          <t>cm</t>
        </is>
      </c>
      <c r="C19" s="22">
        <f>IFERROR(INDEX('인바디기록'!$Q$4:$Q$103,MATCH(MIN('인바디기록'!$A$4:$A$103),'인바디기록'!$A$4:$A$103,0)),"")</f>
        <v/>
      </c>
      <c r="D19" s="22">
        <f>IFERROR(INDEX('인바디기록'!$Q$4:$Q$103,MATCH(MAX('인바디기록'!$A$4:$A$103),'인바디기록'!$A$4:$A$103,0)),"")</f>
        <v/>
      </c>
      <c r="E19" s="22">
        <f>IF(OR(C19="",D19=""),"",D19-C19)</f>
        <v/>
      </c>
      <c r="F19" s="22">
        <f>IF(COUNT('인바디기록'!$Q$4:$Q$103)=0,"",MIN('인바디기록'!$Q$4:$Q$103))</f>
        <v/>
      </c>
      <c r="G19" s="22">
        <f>IF(COUNT('인바디기록'!$Q$4:$Q$103)=0,"",MAX('인바디기록'!$Q$4:$Q$103))</f>
        <v/>
      </c>
      <c r="H19" s="22">
        <f>IF(COUNT('인바디기록'!$Q$4:$Q$103)=0,"",AVERAGE('인바디기록'!$Q$4:$Q$103))</f>
        <v/>
      </c>
      <c r="I19" s="23">
        <f>COUNT('인바디기록'!$Q$4:$Q$103)</f>
        <v/>
      </c>
    </row>
    <row r="21">
      <c r="A21" s="8" t="inlineStr">
        <is>
          <t>※ 최초/최근 기록은 '측정일'이 가장 이른 행과 가장 늦은 행의 값입니다. 측정일이 비어 있으면 계산되지 않습니다.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9" t="inlineStr">
        <is>
          <t>항목별 추이 그래프</t>
        </is>
      </c>
    </row>
    <row r="2">
      <c r="A2" s="8" t="inlineStr">
        <is>
          <t>'인바디기록' 시트에 값을 입력하면 그래프가 자동으로 그려집니다.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2026-08-16T07:12:36Z</dcterms:created>
  <dcterms:modified xsi:type="dcterms:W3CDTF">2026-08-16T07:12:36Z</dcterms:modified>
</cp:coreProperties>
</file>